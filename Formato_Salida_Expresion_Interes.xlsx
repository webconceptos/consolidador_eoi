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cciones_Inversion\1.8.2-SINF\Automatización_EdI\consolidador_eoi\"/>
    </mc:Choice>
  </mc:AlternateContent>
  <xr:revisionPtr revIDLastSave="0" documentId="13_ncr:1_{A70BA635-D669-4B71-A702-5741BF2012D2}" xr6:coauthVersionLast="47" xr6:coauthVersionMax="47" xr10:uidLastSave="{00000000-0000-0000-0000-000000000000}"/>
  <bookViews>
    <workbookView xWindow="-108" yWindow="-108" windowWidth="23256" windowHeight="13896" xr2:uid="{522A2907-E1B0-44CB-91CC-4D645514754A}"/>
  </bookViews>
  <sheets>
    <sheet name="Evaluación CV" sheetId="4" r:id="rId1"/>
    <sheet name="ENTREVISTA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7" i="4" l="1"/>
  <c r="Y7" i="4"/>
  <c r="AA7" i="4"/>
  <c r="AC7" i="4"/>
  <c r="AE7" i="4"/>
  <c r="AG7" i="4"/>
  <c r="AI7" i="4"/>
  <c r="AK7" i="4"/>
  <c r="AM7" i="4"/>
  <c r="AO7" i="4"/>
  <c r="AQ7" i="4"/>
  <c r="AS7" i="4"/>
  <c r="AU7" i="4"/>
  <c r="AW7" i="4"/>
  <c r="AY7" i="4"/>
  <c r="BA7" i="4"/>
  <c r="BA22" i="4" s="1"/>
  <c r="BC7" i="4"/>
  <c r="BE7" i="4"/>
  <c r="W12" i="4"/>
  <c r="Y12" i="4"/>
  <c r="AA12" i="4"/>
  <c r="AC12" i="4"/>
  <c r="AE12" i="4"/>
  <c r="AG12" i="4"/>
  <c r="AI12" i="4"/>
  <c r="AK12" i="4"/>
  <c r="AM12" i="4"/>
  <c r="AO12" i="4"/>
  <c r="AQ12" i="4"/>
  <c r="AS12" i="4"/>
  <c r="AU12" i="4"/>
  <c r="AW12" i="4"/>
  <c r="AY12" i="4"/>
  <c r="BA12" i="4"/>
  <c r="BC12" i="4"/>
  <c r="BE12" i="4"/>
  <c r="W16" i="4"/>
  <c r="Y16" i="4"/>
  <c r="AA16" i="4"/>
  <c r="AA22" i="4" s="1"/>
  <c r="AC16" i="4"/>
  <c r="AC22" i="4" s="1"/>
  <c r="AE16" i="4"/>
  <c r="AG16" i="4"/>
  <c r="AI16" i="4"/>
  <c r="AK16" i="4"/>
  <c r="AM16" i="4"/>
  <c r="AO16" i="4"/>
  <c r="AQ16" i="4"/>
  <c r="AS16" i="4"/>
  <c r="AU16" i="4"/>
  <c r="AW16" i="4"/>
  <c r="AY16" i="4"/>
  <c r="BA16" i="4"/>
  <c r="BC16" i="4"/>
  <c r="BE16" i="4"/>
  <c r="AY22" i="4"/>
  <c r="W25" i="4"/>
  <c r="Y25" i="4"/>
  <c r="AA25" i="4"/>
  <c r="AC25" i="4"/>
  <c r="AE25" i="4"/>
  <c r="AG25" i="4"/>
  <c r="AI25" i="4"/>
  <c r="AK25" i="4"/>
  <c r="AM25" i="4"/>
  <c r="AO25" i="4"/>
  <c r="AQ25" i="4"/>
  <c r="AS25" i="4"/>
  <c r="AU25" i="4"/>
  <c r="AW25" i="4"/>
  <c r="AY25" i="4"/>
  <c r="BA25" i="4"/>
  <c r="BC25" i="4"/>
  <c r="BE25" i="4"/>
  <c r="G12" i="4"/>
  <c r="G7" i="4"/>
  <c r="E7" i="4"/>
  <c r="S6" i="5"/>
  <c r="S7" i="5"/>
  <c r="S5" i="5"/>
  <c r="N6" i="5"/>
  <c r="N7" i="5"/>
  <c r="N5" i="5"/>
  <c r="I6" i="5"/>
  <c r="I7" i="5"/>
  <c r="I5" i="5"/>
  <c r="M16" i="4"/>
  <c r="AG22" i="4" l="1"/>
  <c r="AE22" i="4"/>
  <c r="Y22" i="4"/>
  <c r="W22" i="4"/>
  <c r="BE22" i="4"/>
  <c r="BC22" i="4"/>
  <c r="AU22" i="4"/>
  <c r="AS22" i="4"/>
  <c r="AQ22" i="4"/>
  <c r="AO22" i="4"/>
  <c r="AM22" i="4"/>
  <c r="AK22" i="4"/>
  <c r="AI22" i="4"/>
  <c r="AW22" i="4"/>
  <c r="I16" i="4"/>
  <c r="E12" i="4" l="1"/>
  <c r="D7" i="4"/>
  <c r="U25" i="4" l="1"/>
  <c r="U16" i="4"/>
  <c r="U12" i="4"/>
  <c r="U7" i="4"/>
  <c r="U22" i="4" l="1"/>
  <c r="P8" i="5" l="1"/>
  <c r="K8" i="5"/>
  <c r="F8" i="5"/>
  <c r="S16" i="4" l="1"/>
  <c r="S12" i="4"/>
  <c r="S7" i="4"/>
  <c r="S22" i="4" l="1"/>
  <c r="Q25" i="4"/>
  <c r="Q16" i="4"/>
  <c r="Q12" i="4"/>
  <c r="Q7" i="4"/>
  <c r="O25" i="4"/>
  <c r="O16" i="4"/>
  <c r="O12" i="4"/>
  <c r="O7" i="4"/>
  <c r="O22" i="4" s="1"/>
  <c r="M12" i="4"/>
  <c r="M7" i="4"/>
  <c r="M22" i="4" l="1"/>
  <c r="E16" i="4" l="1"/>
  <c r="F34" i="4"/>
  <c r="F32" i="4"/>
  <c r="G16" i="4"/>
  <c r="G22" i="4" l="1"/>
  <c r="K7" i="4"/>
  <c r="I7" i="4"/>
  <c r="J34" i="4" l="1"/>
  <c r="J32" i="4"/>
  <c r="H34" i="4"/>
  <c r="H32" i="4"/>
  <c r="D22" i="4" l="1"/>
  <c r="M8" i="5" l="1"/>
  <c r="L8" i="5"/>
  <c r="J8" i="5"/>
  <c r="H8" i="5"/>
  <c r="K16" i="4"/>
  <c r="I12" i="4"/>
  <c r="I22" i="4" s="1"/>
  <c r="K12" i="4"/>
  <c r="G8" i="5"/>
  <c r="E8" i="5"/>
  <c r="Q8" i="5"/>
  <c r="R8" i="5"/>
  <c r="O8" i="5"/>
  <c r="D8" i="5"/>
  <c r="N8" i="5" l="1" a="1"/>
  <c r="N8" i="5" s="1"/>
  <c r="S8" i="5" a="1"/>
  <c r="S8" i="5" s="1"/>
  <c r="I8" i="5" a="1"/>
  <c r="I8" i="5" s="1"/>
  <c r="S25" i="4" l="1"/>
  <c r="M25" i="4"/>
  <c r="M26" i="4" s="1"/>
  <c r="G25" i="4"/>
  <c r="I25" i="4"/>
  <c r="I26" i="4" s="1"/>
  <c r="G26" i="4"/>
  <c r="E25" i="4"/>
  <c r="E22" i="4"/>
  <c r="E26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<sst xmlns="http://schemas.openxmlformats.org/spreadsheetml/2006/main" count="117" uniqueCount="43">
  <si>
    <t>Anexo 01: CUADRO DE EVALUACIÓN</t>
  </si>
  <si>
    <t>Item</t>
  </si>
  <si>
    <t>Criterios de Evaluación</t>
  </si>
  <si>
    <t>Puntaje</t>
  </si>
  <si>
    <t>Puntaje Máximo</t>
  </si>
  <si>
    <t>FORMACIÓN ACADÉMICA</t>
  </si>
  <si>
    <t>I</t>
  </si>
  <si>
    <t>CUMPLE / 
NO CUMPLE</t>
  </si>
  <si>
    <t xml:space="preserve">ESTUDIOS COMPLEMENTARIOS </t>
  </si>
  <si>
    <t>II</t>
  </si>
  <si>
    <t>III</t>
  </si>
  <si>
    <t>EXPERIENCIA GENERAL</t>
  </si>
  <si>
    <t>IV</t>
  </si>
  <si>
    <t>EXPERIENCIA ESPECIFICA</t>
  </si>
  <si>
    <t>V</t>
  </si>
  <si>
    <t>PUNTAJE TOTAL CV DOCUMENTADO</t>
  </si>
  <si>
    <t>Entrevista Personal (Etapa 2)</t>
  </si>
  <si>
    <t xml:space="preserve">ENTREVISTA </t>
  </si>
  <si>
    <t>PUNTAJE ENTREVISTA PERSONAL</t>
  </si>
  <si>
    <t>PUNTAJE TOTAL  (ETAPA 1 + ETAPA 2)</t>
  </si>
  <si>
    <t xml:space="preserve"> </t>
  </si>
  <si>
    <t>Consultores</t>
  </si>
  <si>
    <t>TOTAL</t>
  </si>
  <si>
    <t>Dominio temático</t>
  </si>
  <si>
    <t>Capacidad de análisis</t>
  </si>
  <si>
    <t>Facilidad de comunicación</t>
  </si>
  <si>
    <t>NO CUMPLE</t>
  </si>
  <si>
    <t>ENTREVISTA - SCI 057-2025-CG-UE02/BID3</t>
  </si>
  <si>
    <r>
      <t xml:space="preserve">EXPERIENCIA GENERAL: 
Experiencia laboral en el sector público o privado, mínima de cinco (05) años
</t>
    </r>
    <r>
      <rPr>
        <sz val="8"/>
        <rFont val="Calibri"/>
        <family val="2"/>
        <scheme val="minor"/>
      </rPr>
      <t xml:space="preserve">*La experiencia general y específica será contabilizada desde la fecha de egresado </t>
    </r>
  </si>
  <si>
    <t>XX</t>
  </si>
  <si>
    <t>Más de cinco (05) años y hasta XXX (XX) años</t>
  </si>
  <si>
    <t>Más de XXX (XX) años.</t>
  </si>
  <si>
    <r>
      <t>EXPERIENCIA ESPECÍFICA:  
Experiencia en el sector público o privado, mínima de cuatro (04) años, ejecutando actividades de funciones como analista de sistemas, analista funcional o labores relacionadas</t>
    </r>
    <r>
      <rPr>
        <sz val="8"/>
        <rFont val="Calibri"/>
        <family val="2"/>
        <scheme val="minor"/>
      </rPr>
      <t xml:space="preserve">
*La experiencia general y específica será contabilizada desde la fecha de egresado </t>
    </r>
  </si>
  <si>
    <t>Más de cuatro (04) años y hasta xx (xx) años.</t>
  </si>
  <si>
    <t>Más de xx (xx) años</t>
  </si>
  <si>
    <t>Deseable experiencia mínima de (01) año como: Analista Programador o Programador o puesto equivalente, utilizando lenguaje de programación Java.</t>
  </si>
  <si>
    <t>Deseable experiencia mínima de un (01) año en desarrollo de aplicativos con Base de Datos Oracle 10g o superior</t>
  </si>
  <si>
    <t>CONSULTORIA INDIVIDUAL Nº 069-2025-CG-UE002/BID3:  LA CONTRATACIÓN DE UN CONSULTOR ANALISTA DE SISTEMAS DE SOLUCIONES INFORMÁTICAS 01 PARA LA IMPLEMENTACIÓN DEL PROYECTO INTERNO 1.8.2 SISTEMA INTEGRADO DE CONTROL GUBERNAMENTAL - FASE 2. COMPONENTE: PROGRAMACIÓN DE LOS SERVICIOS DE CONTROL - PSC PRODUCTO DE LA ACCIÓN DE INVERSIÓN 1.8.2.</t>
  </si>
  <si>
    <t>b.1) Curso o taller o capacitación o certificación en temas relacionadas al análisis o desarrollo de software o tecnologías de la información</t>
  </si>
  <si>
    <t>b.2) Deseable curso o taller o capacitación o certificación de Metodología RUP o Scrum o similares</t>
  </si>
  <si>
    <t>b.3) Deseable Curso o taller o capacitación o certificación en herramientas para pruebas de rendimiento / carga / estrés.</t>
  </si>
  <si>
    <t>b.4) Deseable curso o taller o capacitación o certificación en Base de datos Oracle 10g o superior</t>
  </si>
  <si>
    <t>a) Bachiller en Ingeniería de Sistemas o Ingeniería Informática o Ingeniería de Sistemas y Cómputo o Ingeniería de Sistemas e Informática o Ingeniería de Computación
y Sistemas o Ingeniería Informática y Sistemas o Ingeniería en Ciencias de la Computación o Ingeniería Industrial o Ingeniería Electrónica o Ingeniería de
Telecomunicaciones o Ingeniería de Software o afines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</si>
</sst>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&quot; Ptos.&quot;"/>
    <numFmt numFmtId="165" formatCode="&quot;Min.&quot;\ 0&quot; Ptos.&quot;"/>
    <numFmt numFmtId="166" formatCode="&quot;Max.&quot;\ 0&quot; Ptos.&quot;"/>
    <numFmt numFmtId="167" formatCode="#.00\ &quot;Años&quot;"/>
  </numFmts>
  <fonts count="27" x14ac:knownFonts="1">
    <font>
      <sz val="11"/>
      <name val="Calibri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3" fillId="0" borderId="1"/>
    <xf numFmtId="0" fontId="6" fillId="0" borderId="1" applyNumberFormat="0" applyFill="0" applyBorder="0" applyAlignment="0" applyProtection="0"/>
    <xf numFmtId="0" fontId="1" fillId="0" borderId="1"/>
    <xf numFmtId="0" fontId="2" fillId="0" borderId="0" applyNumberFormat="0" applyFill="0" applyBorder="0" applyAlignment="0" applyProtection="0"/>
  </cellStyleXfs>
  <cellXfs count="90">
    <xf numFmtId="0" fontId="0" fillId="0" borderId="0" xfId="0"/>
    <xf numFmtId="0" fontId="7" fillId="0" borderId="1" xfId="3" applyFont="1" applyAlignment="1">
      <alignment horizontal="left" vertical="center" wrapText="1"/>
    </xf>
    <xf numFmtId="0" fontId="8" fillId="0" borderId="1" xfId="3" applyFont="1" applyAlignment="1">
      <alignment horizontal="center" vertical="center" wrapText="1"/>
    </xf>
    <xf numFmtId="0" fontId="9" fillId="0" borderId="1" xfId="3" applyFont="1" applyAlignment="1">
      <alignment vertical="center" wrapText="1"/>
    </xf>
    <xf numFmtId="0" fontId="9" fillId="0" borderId="1" xfId="3" applyFont="1" applyAlignment="1">
      <alignment vertical="center"/>
    </xf>
    <xf numFmtId="0" fontId="12" fillId="0" borderId="1" xfId="3" applyFont="1" applyAlignment="1">
      <alignment vertical="center" wrapText="1"/>
    </xf>
    <xf numFmtId="0" fontId="14" fillId="0" borderId="1" xfId="3" applyFont="1" applyAlignment="1">
      <alignment vertical="center" wrapText="1"/>
    </xf>
    <xf numFmtId="0" fontId="15" fillId="0" borderId="2" xfId="3" applyFont="1" applyBorder="1" applyAlignment="1">
      <alignment horizontal="center" vertical="center" wrapText="1"/>
    </xf>
    <xf numFmtId="0" fontId="14" fillId="3" borderId="1" xfId="3" applyFont="1" applyFill="1" applyAlignment="1">
      <alignment vertical="center" wrapText="1"/>
    </xf>
    <xf numFmtId="0" fontId="9" fillId="0" borderId="1" xfId="3" applyFont="1" applyAlignment="1">
      <alignment horizontal="center" vertical="center" wrapText="1"/>
    </xf>
    <xf numFmtId="0" fontId="4" fillId="0" borderId="1" xfId="3" applyFont="1" applyAlignment="1">
      <alignment horizontal="center" vertical="center" wrapText="1"/>
    </xf>
    <xf numFmtId="0" fontId="4" fillId="0" borderId="1" xfId="3" applyFont="1" applyAlignment="1">
      <alignment horizontal="left" vertical="center" wrapText="1"/>
    </xf>
    <xf numFmtId="0" fontId="11" fillId="7" borderId="2" xfId="3" applyFont="1" applyFill="1" applyBorder="1" applyAlignment="1">
      <alignment horizontal="center" vertical="center" wrapText="1"/>
    </xf>
    <xf numFmtId="0" fontId="15" fillId="3" borderId="2" xfId="3" applyFont="1" applyFill="1" applyBorder="1" applyAlignment="1">
      <alignment vertical="center" wrapText="1"/>
    </xf>
    <xf numFmtId="0" fontId="14" fillId="0" borderId="2" xfId="3" quotePrefix="1" applyFont="1" applyBorder="1" applyAlignment="1">
      <alignment horizontal="center" vertical="center" wrapText="1"/>
    </xf>
    <xf numFmtId="2" fontId="13" fillId="3" borderId="2" xfId="3" applyNumberFormat="1" applyFont="1" applyFill="1" applyBorder="1" applyAlignment="1">
      <alignment horizontal="center" vertical="center" wrapText="1"/>
    </xf>
    <xf numFmtId="0" fontId="16" fillId="0" borderId="2" xfId="3" quotePrefix="1" applyFont="1" applyBorder="1" applyAlignment="1">
      <alignment horizontal="center" vertical="center" wrapText="1"/>
    </xf>
    <xf numFmtId="0" fontId="9" fillId="0" borderId="1" xfId="3" applyFont="1" applyAlignment="1">
      <alignment horizontal="left" vertical="center" wrapText="1"/>
    </xf>
    <xf numFmtId="0" fontId="10" fillId="0" borderId="2" xfId="3" applyFont="1" applyBorder="1" applyAlignment="1">
      <alignment horizontal="center" vertical="center" wrapText="1"/>
    </xf>
    <xf numFmtId="164" fontId="10" fillId="0" borderId="2" xfId="3" applyNumberFormat="1" applyFont="1" applyBorder="1" applyAlignment="1">
      <alignment horizontal="center" vertical="center" wrapText="1"/>
    </xf>
    <xf numFmtId="164" fontId="11" fillId="0" borderId="2" xfId="3" applyNumberFormat="1" applyFont="1" applyBorder="1" applyAlignment="1">
      <alignment horizontal="center" vertical="center" wrapText="1"/>
    </xf>
    <xf numFmtId="0" fontId="11" fillId="0" borderId="2" xfId="3" applyFont="1" applyBorder="1" applyAlignment="1">
      <alignment horizontal="center" vertical="center" wrapText="1"/>
    </xf>
    <xf numFmtId="165" fontId="10" fillId="2" borderId="2" xfId="3" applyNumberFormat="1" applyFont="1" applyFill="1" applyBorder="1" applyAlignment="1">
      <alignment horizontal="center" vertical="center" wrapText="1"/>
    </xf>
    <xf numFmtId="166" fontId="10" fillId="2" borderId="2" xfId="3" applyNumberFormat="1" applyFont="1" applyFill="1" applyBorder="1" applyAlignment="1">
      <alignment horizontal="center" vertical="center" wrapText="1"/>
    </xf>
    <xf numFmtId="165" fontId="11" fillId="2" borderId="2" xfId="3" applyNumberFormat="1" applyFont="1" applyFill="1" applyBorder="1" applyAlignment="1">
      <alignment horizontal="center" vertical="center" wrapText="1"/>
    </xf>
    <xf numFmtId="0" fontId="20" fillId="3" borderId="2" xfId="0" applyFont="1" applyFill="1" applyBorder="1" applyAlignment="1">
      <alignment vertical="center" wrapText="1"/>
    </xf>
    <xf numFmtId="0" fontId="20" fillId="0" borderId="2" xfId="3" applyFont="1" applyBorder="1" applyAlignment="1">
      <alignment horizontal="center" vertical="center" wrapText="1"/>
    </xf>
    <xf numFmtId="165" fontId="11" fillId="2" borderId="2" xfId="3" applyNumberFormat="1" applyFont="1" applyFill="1" applyBorder="1" applyAlignment="1">
      <alignment horizontal="left" vertical="center" wrapText="1"/>
    </xf>
    <xf numFmtId="164" fontId="11" fillId="2" borderId="2" xfId="3" quotePrefix="1" applyNumberFormat="1" applyFont="1" applyFill="1" applyBorder="1" applyAlignment="1">
      <alignment horizontal="center" vertical="center" wrapText="1"/>
    </xf>
    <xf numFmtId="0" fontId="11" fillId="0" borderId="2" xfId="3" applyFont="1" applyBorder="1" applyAlignment="1">
      <alignment horizontal="left" vertical="center" wrapText="1"/>
    </xf>
    <xf numFmtId="165" fontId="11" fillId="2" borderId="2" xfId="3" applyNumberFormat="1" applyFont="1" applyFill="1" applyBorder="1" applyAlignment="1">
      <alignment horizontal="center" vertical="center"/>
    </xf>
    <xf numFmtId="165" fontId="23" fillId="2" borderId="2" xfId="3" quotePrefix="1" applyNumberFormat="1" applyFont="1" applyFill="1" applyBorder="1" applyAlignment="1">
      <alignment horizontal="left" vertical="center" wrapText="1"/>
    </xf>
    <xf numFmtId="165" fontId="11" fillId="2" borderId="2" xfId="3" quotePrefix="1" applyNumberFormat="1" applyFont="1" applyFill="1" applyBorder="1" applyAlignment="1">
      <alignment horizontal="left" vertical="center" wrapText="1"/>
    </xf>
    <xf numFmtId="0" fontId="11" fillId="3" borderId="2" xfId="3" applyFont="1" applyFill="1" applyBorder="1" applyAlignment="1">
      <alignment horizontal="left" vertical="center" wrapText="1"/>
    </xf>
    <xf numFmtId="0" fontId="20" fillId="3" borderId="2" xfId="3" applyFont="1" applyFill="1" applyBorder="1" applyAlignment="1">
      <alignment horizontal="center" vertical="center" wrapText="1"/>
    </xf>
    <xf numFmtId="0" fontId="10" fillId="2" borderId="2" xfId="3" applyFont="1" applyFill="1" applyBorder="1" applyAlignment="1">
      <alignment horizontal="left" vertical="center"/>
    </xf>
    <xf numFmtId="0" fontId="10" fillId="3" borderId="2" xfId="3" applyFont="1" applyFill="1" applyBorder="1" applyAlignment="1">
      <alignment horizontal="center" vertical="center" wrapText="1"/>
    </xf>
    <xf numFmtId="0" fontId="12" fillId="3" borderId="2" xfId="3" applyFont="1" applyFill="1" applyBorder="1" applyAlignment="1">
      <alignment horizontal="left" vertical="center" wrapText="1"/>
    </xf>
    <xf numFmtId="0" fontId="12" fillId="3" borderId="2" xfId="3" applyFont="1" applyFill="1" applyBorder="1" applyAlignment="1">
      <alignment horizontal="center" vertical="center" wrapText="1"/>
    </xf>
    <xf numFmtId="0" fontId="12" fillId="0" borderId="2" xfId="3" applyFont="1" applyBorder="1" applyAlignment="1">
      <alignment horizontal="center" vertical="center"/>
    </xf>
    <xf numFmtId="1" fontId="20" fillId="0" borderId="2" xfId="3" applyNumberFormat="1" applyFont="1" applyBorder="1" applyAlignment="1">
      <alignment horizontal="center" vertical="center" wrapText="1"/>
    </xf>
    <xf numFmtId="2" fontId="20" fillId="0" borderId="2" xfId="3" applyNumberFormat="1" applyFont="1" applyBorder="1" applyAlignment="1">
      <alignment horizontal="center" vertical="center" wrapText="1"/>
    </xf>
    <xf numFmtId="164" fontId="10" fillId="2" borderId="2" xfId="3" applyNumberFormat="1" applyFont="1" applyFill="1" applyBorder="1" applyAlignment="1">
      <alignment horizontal="left" vertical="center" wrapText="1"/>
    </xf>
    <xf numFmtId="164" fontId="10" fillId="6" borderId="2" xfId="3" quotePrefix="1" applyNumberFormat="1" applyFont="1" applyFill="1" applyBorder="1" applyAlignment="1">
      <alignment horizontal="center" vertical="center" wrapText="1"/>
    </xf>
    <xf numFmtId="164" fontId="10" fillId="2" borderId="2" xfId="3" applyNumberFormat="1" applyFont="1" applyFill="1" applyBorder="1" applyAlignment="1">
      <alignment horizontal="center" vertical="center" wrapText="1"/>
    </xf>
    <xf numFmtId="164" fontId="11" fillId="2" borderId="2" xfId="3" applyNumberFormat="1" applyFont="1" applyFill="1" applyBorder="1" applyAlignment="1">
      <alignment horizontal="left" vertical="center" wrapText="1"/>
    </xf>
    <xf numFmtId="164" fontId="11" fillId="6" borderId="2" xfId="3" quotePrefix="1" applyNumberFormat="1" applyFont="1" applyFill="1" applyBorder="1" applyAlignment="1">
      <alignment horizontal="center" vertical="center" wrapText="1"/>
    </xf>
    <xf numFmtId="165" fontId="21" fillId="4" borderId="2" xfId="3" applyNumberFormat="1" applyFont="1" applyFill="1" applyBorder="1" applyAlignment="1">
      <alignment horizontal="center" vertical="center"/>
    </xf>
    <xf numFmtId="166" fontId="21" fillId="4" borderId="2" xfId="3" applyNumberFormat="1" applyFont="1" applyFill="1" applyBorder="1" applyAlignment="1">
      <alignment horizontal="center" vertical="center"/>
    </xf>
    <xf numFmtId="165" fontId="21" fillId="4" borderId="2" xfId="3" applyNumberFormat="1" applyFont="1" applyFill="1" applyBorder="1" applyAlignment="1">
      <alignment horizontal="center" vertical="center" wrapText="1"/>
    </xf>
    <xf numFmtId="164" fontId="21" fillId="4" borderId="2" xfId="3" quotePrefix="1" applyNumberFormat="1" applyFont="1" applyFill="1" applyBorder="1" applyAlignment="1">
      <alignment horizontal="center" vertical="center" wrapText="1"/>
    </xf>
    <xf numFmtId="0" fontId="24" fillId="0" borderId="1" xfId="3" applyFont="1" applyAlignment="1">
      <alignment horizontal="center" vertical="center" wrapText="1"/>
    </xf>
    <xf numFmtId="0" fontId="20" fillId="0" borderId="2" xfId="3" applyFont="1" applyBorder="1" applyAlignment="1">
      <alignment horizontal="left" vertical="center" wrapText="1"/>
    </xf>
    <xf numFmtId="0" fontId="25" fillId="0" borderId="2" xfId="3" applyFont="1" applyBorder="1" applyAlignment="1">
      <alignment vertical="center" wrapText="1"/>
    </xf>
    <xf numFmtId="0" fontId="7" fillId="0" borderId="1" xfId="3" applyFont="1" applyAlignment="1">
      <alignment horizontal="center" vertical="center" wrapText="1"/>
    </xf>
    <xf numFmtId="0" fontId="11" fillId="0" borderId="2" xfId="3" quotePrefix="1" applyFont="1" applyBorder="1" applyAlignment="1">
      <alignment horizontal="center" vertical="center" wrapText="1"/>
    </xf>
    <xf numFmtId="0" fontId="5" fillId="0" borderId="2" xfId="3" applyFont="1" applyBorder="1" applyAlignment="1">
      <alignment horizontal="center" vertical="center" wrapText="1"/>
    </xf>
    <xf numFmtId="0" fontId="5" fillId="3" borderId="2" xfId="3" applyFont="1" applyFill="1" applyBorder="1" applyAlignment="1">
      <alignment horizontal="center" vertical="center" wrapText="1"/>
    </xf>
    <xf numFmtId="2" fontId="5" fillId="7" borderId="2" xfId="3" applyNumberFormat="1" applyFont="1" applyFill="1" applyBorder="1" applyAlignment="1">
      <alignment horizontal="center" vertical="center" wrapText="1"/>
    </xf>
    <xf numFmtId="2" fontId="13" fillId="7" borderId="2" xfId="3" applyNumberFormat="1" applyFont="1" applyFill="1" applyBorder="1" applyAlignment="1">
      <alignment horizontal="center" vertical="center" wrapText="1"/>
    </xf>
    <xf numFmtId="167" fontId="11" fillId="0" borderId="2" xfId="3" quotePrefix="1" applyNumberFormat="1" applyFont="1" applyBorder="1" applyAlignment="1">
      <alignment horizontal="center" vertical="center" wrapText="1"/>
    </xf>
    <xf numFmtId="14" fontId="20" fillId="0" borderId="2" xfId="3" quotePrefix="1" applyNumberFormat="1" applyFont="1" applyBorder="1" applyAlignment="1">
      <alignment horizontal="center" vertical="center" wrapText="1"/>
    </xf>
    <xf numFmtId="0" fontId="22" fillId="0" borderId="2" xfId="3" applyFont="1" applyBorder="1" applyAlignment="1">
      <alignment vertical="center" wrapText="1"/>
    </xf>
    <xf numFmtId="2" fontId="26" fillId="0" borderId="2" xfId="3" quotePrefix="1" applyNumberFormat="1" applyFont="1" applyBorder="1" applyAlignment="1">
      <alignment horizontal="center" vertical="center" wrapText="1"/>
    </xf>
    <xf numFmtId="167" fontId="20" fillId="0" borderId="2" xfId="3" quotePrefix="1" applyNumberFormat="1" applyFont="1" applyBorder="1" applyAlignment="1">
      <alignment horizontal="center" vertical="center" wrapText="1"/>
    </xf>
    <xf numFmtId="164" fontId="10" fillId="4" borderId="2" xfId="3" applyNumberFormat="1" applyFont="1" applyFill="1" applyBorder="1" applyAlignment="1">
      <alignment horizontal="center" vertical="center" wrapText="1"/>
    </xf>
    <xf numFmtId="0" fontId="17" fillId="4" borderId="2" xfId="3" applyFont="1" applyFill="1" applyBorder="1" applyAlignment="1">
      <alignment horizontal="center" vertical="center" wrapText="1"/>
    </xf>
    <xf numFmtId="165" fontId="10" fillId="2" borderId="2" xfId="3" applyNumberFormat="1" applyFont="1" applyFill="1" applyBorder="1" applyAlignment="1">
      <alignment horizontal="center" vertical="center" wrapText="1"/>
    </xf>
    <xf numFmtId="0" fontId="20" fillId="0" borderId="2" xfId="3" quotePrefix="1" applyFont="1" applyBorder="1" applyAlignment="1">
      <alignment horizontal="center" vertical="center" wrapText="1"/>
    </xf>
    <xf numFmtId="167" fontId="11" fillId="0" borderId="2" xfId="3" quotePrefix="1" applyNumberFormat="1" applyFont="1" applyBorder="1" applyAlignment="1">
      <alignment horizontal="center" vertical="center" wrapText="1"/>
    </xf>
    <xf numFmtId="0" fontId="11" fillId="0" borderId="2" xfId="3" applyFont="1" applyBorder="1" applyAlignment="1">
      <alignment horizontal="center" vertical="center" wrapText="1"/>
    </xf>
    <xf numFmtId="165" fontId="11" fillId="2" borderId="2" xfId="3" applyNumberFormat="1" applyFont="1" applyFill="1" applyBorder="1" applyAlignment="1">
      <alignment horizontal="center" vertical="center" wrapText="1"/>
    </xf>
    <xf numFmtId="0" fontId="11" fillId="0" borderId="3" xfId="3" applyFont="1" applyBorder="1" applyAlignment="1">
      <alignment horizontal="center" vertical="center" wrapText="1"/>
    </xf>
    <xf numFmtId="0" fontId="11" fillId="0" borderId="4" xfId="3" applyFont="1" applyBorder="1" applyAlignment="1">
      <alignment horizontal="center" vertical="center" wrapText="1"/>
    </xf>
    <xf numFmtId="0" fontId="7" fillId="0" borderId="1" xfId="3" applyFont="1" applyAlignment="1">
      <alignment horizontal="left" vertical="center" wrapText="1"/>
    </xf>
    <xf numFmtId="0" fontId="7" fillId="0" borderId="1" xfId="3" applyFont="1" applyAlignment="1">
      <alignment horizontal="center" vertical="center" wrapText="1"/>
    </xf>
    <xf numFmtId="0" fontId="10" fillId="2" borderId="2" xfId="3" applyFont="1" applyFill="1" applyBorder="1" applyAlignment="1">
      <alignment horizontal="left" vertical="center" wrapText="1"/>
    </xf>
    <xf numFmtId="0" fontId="17" fillId="4" borderId="2" xfId="3" applyFont="1" applyFill="1" applyBorder="1" applyAlignment="1">
      <alignment horizontal="left" vertical="center"/>
    </xf>
    <xf numFmtId="0" fontId="17" fillId="5" borderId="2" xfId="3" applyFont="1" applyFill="1" applyBorder="1" applyAlignment="1">
      <alignment horizontal="center" vertical="center" wrapText="1"/>
    </xf>
    <xf numFmtId="167" fontId="20" fillId="0" borderId="2" xfId="3" quotePrefix="1" applyNumberFormat="1" applyFont="1" applyBorder="1" applyAlignment="1">
      <alignment horizontal="center" vertical="center" wrapText="1"/>
    </xf>
    <xf numFmtId="0" fontId="20" fillId="0" borderId="2" xfId="3" applyFont="1" applyBorder="1" applyAlignment="1">
      <alignment horizontal="center" vertical="center"/>
    </xf>
    <xf numFmtId="0" fontId="11" fillId="0" borderId="2" xfId="3" quotePrefix="1" applyFont="1" applyBorder="1" applyAlignment="1">
      <alignment horizontal="center" vertical="center" wrapText="1"/>
    </xf>
    <xf numFmtId="0" fontId="21" fillId="4" borderId="2" xfId="3" applyFont="1" applyFill="1" applyBorder="1" applyAlignment="1">
      <alignment horizontal="center" vertical="center"/>
    </xf>
    <xf numFmtId="0" fontId="10" fillId="2" borderId="2" xfId="3" applyFont="1" applyFill="1" applyBorder="1" applyAlignment="1">
      <alignment horizontal="center" vertical="center"/>
    </xf>
    <xf numFmtId="164" fontId="11" fillId="4" borderId="2" xfId="3" applyNumberFormat="1" applyFont="1" applyFill="1" applyBorder="1" applyAlignment="1">
      <alignment horizontal="center" vertical="center" wrapText="1"/>
    </xf>
    <xf numFmtId="0" fontId="11" fillId="0" borderId="5" xfId="3" applyFont="1" applyBorder="1" applyAlignment="1">
      <alignment horizontal="center" vertical="center" wrapText="1"/>
    </xf>
    <xf numFmtId="0" fontId="5" fillId="7" borderId="2" xfId="3" applyFont="1" applyFill="1" applyBorder="1" applyAlignment="1">
      <alignment horizontal="center" vertical="center"/>
    </xf>
    <xf numFmtId="0" fontId="18" fillId="0" borderId="1" xfId="3" applyFont="1" applyAlignment="1">
      <alignment horizontal="center" vertical="center" wrapText="1"/>
    </xf>
    <xf numFmtId="0" fontId="4" fillId="0" borderId="1" xfId="3" applyFont="1" applyAlignment="1">
      <alignment horizontal="center" vertical="center" wrapText="1"/>
    </xf>
    <xf numFmtId="0" fontId="19" fillId="7" borderId="2" xfId="3" applyFont="1" applyFill="1" applyBorder="1" applyAlignment="1">
      <alignment horizontal="center" vertical="center" wrapText="1"/>
    </xf>
  </cellXfs>
  <cellStyles count="5">
    <cellStyle name="Hipervínculo 2" xfId="2" xr:uid="{A9BF0A3D-D2CD-40B5-A362-9135E177D57F}"/>
    <cellStyle name="Hyperlink" xfId="4" xr:uid="{00000000-000B-0000-0000-000008000000}"/>
    <cellStyle name="Normal" xfId="0" builtinId="0"/>
    <cellStyle name="Normal 2" xfId="1" xr:uid="{07470558-1088-4DA5-A2BE-F6707627D045}"/>
    <cellStyle name="Normal 2 2" xfId="3" xr:uid="{A38AEC2F-987A-49C3-A6B4-2EDEEF4ADB37}"/>
  </cellStyles>
  <dxfs count="0"/>
  <tableStyles count="0" defaultTableStyle="TableStyleMedium2" defaultPivotStyle="PivotStyleLight16"/>
  <colors>
    <mruColors>
      <color rgb="FFFFE1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5DE56-8FFF-476F-9A5C-ED212906D304}">
  <sheetPr>
    <tabColor rgb="FFFF0000"/>
  </sheetPr>
  <dimension ref="A1:BE34"/>
  <sheetViews>
    <sheetView tabSelected="1" zoomScale="90" zoomScaleNormal="90" zoomScaleSheetLayoutView="100" workbookViewId="0">
      <pane xSplit="4" ySplit="5" topLeftCell="E11" activePane="bottomRight" state="frozen"/>
      <selection pane="topRight" activeCell="E1" sqref="E1"/>
      <selection pane="bottomLeft" activeCell="A6" sqref="A6"/>
      <selection pane="bottomRight" activeCell="AT13" sqref="AT13"/>
    </sheetView>
  </sheetViews>
  <sheetFormatPr baseColWidth="10" defaultColWidth="11.44140625" defaultRowHeight="12" x14ac:dyDescent="0.3"/>
  <cols>
    <col min="1" max="1" width="2.88671875" style="3" customWidth="1"/>
    <col min="2" max="2" width="5" style="9" customWidth="1"/>
    <col min="3" max="3" width="42.5546875" style="3" customWidth="1"/>
    <col min="4" max="5" width="13.88671875" style="9" customWidth="1"/>
    <col min="6" max="6" width="23.109375" style="9" customWidth="1"/>
    <col min="7" max="7" width="10.33203125" style="9" customWidth="1"/>
    <col min="8" max="8" width="23" style="9" customWidth="1"/>
    <col min="9" max="9" width="9.88671875" style="9" customWidth="1"/>
    <col min="10" max="10" width="26.6640625" style="9" customWidth="1"/>
    <col min="11" max="11" width="9.88671875" style="9" customWidth="1"/>
    <col min="12" max="12" width="26.6640625" style="3" customWidth="1"/>
    <col min="13" max="13" width="9.88671875" style="3" customWidth="1"/>
    <col min="14" max="14" width="26.6640625" style="3" bestFit="1" customWidth="1"/>
    <col min="15" max="15" width="9.88671875" style="3" customWidth="1"/>
    <col min="16" max="16" width="26.6640625" style="3" bestFit="1" customWidth="1"/>
    <col min="17" max="17" width="9.88671875" style="3" customWidth="1"/>
    <col min="18" max="18" width="26.6640625" style="3" bestFit="1" customWidth="1"/>
    <col min="19" max="19" width="9.88671875" style="3" customWidth="1"/>
    <col min="20" max="20" width="26.6640625" style="3" bestFit="1" customWidth="1"/>
    <col min="21" max="21" width="10" style="3" customWidth="1"/>
    <col min="22" max="22" width="26.6640625" style="3" customWidth="1"/>
    <col min="23" max="23" width="10" style="3" customWidth="1"/>
    <col min="24" max="24" width="26.77734375" style="3" customWidth="1"/>
    <col min="25" max="25" width="11.44140625" style="3"/>
    <col min="26" max="26" width="26.77734375" style="3" customWidth="1"/>
    <col min="27" max="27" width="11.44140625" style="3"/>
    <col min="28" max="28" width="26.77734375" style="3" customWidth="1"/>
    <col min="29" max="29" width="11.44140625" style="3"/>
    <col min="30" max="30" width="26.77734375" style="3" customWidth="1"/>
    <col min="31" max="31" width="11.44140625" style="3"/>
    <col min="32" max="32" width="26.77734375" style="3" customWidth="1"/>
    <col min="33" max="33" width="11.44140625" style="3"/>
    <col min="34" max="34" width="26.77734375" style="3" customWidth="1"/>
    <col min="35" max="35" width="11.44140625" style="3"/>
    <col min="36" max="36" width="26.77734375" style="3" customWidth="1"/>
    <col min="37" max="37" width="11.44140625" style="3"/>
    <col min="38" max="38" width="26.77734375" style="3" customWidth="1"/>
    <col min="39" max="39" width="11.44140625" style="3"/>
    <col min="40" max="40" width="26.77734375" style="3" customWidth="1"/>
    <col min="41" max="41" width="11.44140625" style="3"/>
    <col min="42" max="42" width="26.77734375" style="3" customWidth="1"/>
    <col min="43" max="43" width="11.44140625" style="3"/>
    <col min="44" max="44" width="26.77734375" style="3" customWidth="1"/>
    <col min="45" max="45" width="11.44140625" style="3"/>
    <col min="46" max="46" width="26.77734375" style="3" customWidth="1"/>
    <col min="47" max="47" width="11.44140625" style="3"/>
    <col min="48" max="48" width="26.77734375" style="3" customWidth="1"/>
    <col min="49" max="49" width="11.44140625" style="3"/>
    <col min="50" max="50" width="26.77734375" style="3" customWidth="1"/>
    <col min="51" max="51" width="11.44140625" style="3"/>
    <col min="52" max="52" width="26.77734375" style="3" customWidth="1"/>
    <col min="53" max="53" width="11.44140625" style="3"/>
    <col min="54" max="54" width="26.77734375" style="3" customWidth="1"/>
    <col min="55" max="55" width="11.44140625" style="3"/>
    <col min="56" max="56" width="26.77734375" style="3" customWidth="1"/>
    <col min="57" max="225" width="11.44140625" style="3"/>
    <col min="226" max="226" width="2.88671875" style="3" customWidth="1"/>
    <col min="227" max="227" width="5" style="3" customWidth="1"/>
    <col min="228" max="228" width="44.5546875" style="3" customWidth="1"/>
    <col min="229" max="229" width="14.6640625" style="3" customWidth="1"/>
    <col min="230" max="230" width="17.5546875" style="3" customWidth="1"/>
    <col min="231" max="231" width="29.109375" style="3" customWidth="1"/>
    <col min="232" max="232" width="13.109375" style="3" customWidth="1"/>
    <col min="233" max="233" width="31" style="3" customWidth="1"/>
    <col min="234" max="234" width="15" style="3" customWidth="1"/>
    <col min="235" max="235" width="29.109375" style="3" customWidth="1"/>
    <col min="236" max="236" width="13.88671875" style="3" customWidth="1"/>
    <col min="237" max="481" width="11.44140625" style="3"/>
    <col min="482" max="482" width="2.88671875" style="3" customWidth="1"/>
    <col min="483" max="483" width="5" style="3" customWidth="1"/>
    <col min="484" max="484" width="44.5546875" style="3" customWidth="1"/>
    <col min="485" max="485" width="14.6640625" style="3" customWidth="1"/>
    <col min="486" max="486" width="17.5546875" style="3" customWidth="1"/>
    <col min="487" max="487" width="29.109375" style="3" customWidth="1"/>
    <col min="488" max="488" width="13.109375" style="3" customWidth="1"/>
    <col min="489" max="489" width="31" style="3" customWidth="1"/>
    <col min="490" max="490" width="15" style="3" customWidth="1"/>
    <col min="491" max="491" width="29.109375" style="3" customWidth="1"/>
    <col min="492" max="492" width="13.88671875" style="3" customWidth="1"/>
    <col min="493" max="737" width="11.44140625" style="3"/>
    <col min="738" max="738" width="2.88671875" style="3" customWidth="1"/>
    <col min="739" max="739" width="5" style="3" customWidth="1"/>
    <col min="740" max="740" width="44.5546875" style="3" customWidth="1"/>
    <col min="741" max="741" width="14.6640625" style="3" customWidth="1"/>
    <col min="742" max="742" width="17.5546875" style="3" customWidth="1"/>
    <col min="743" max="743" width="29.109375" style="3" customWidth="1"/>
    <col min="744" max="744" width="13.109375" style="3" customWidth="1"/>
    <col min="745" max="745" width="31" style="3" customWidth="1"/>
    <col min="746" max="746" width="15" style="3" customWidth="1"/>
    <col min="747" max="747" width="29.109375" style="3" customWidth="1"/>
    <col min="748" max="748" width="13.88671875" style="3" customWidth="1"/>
    <col min="749" max="993" width="11.44140625" style="3"/>
    <col min="994" max="994" width="2.88671875" style="3" customWidth="1"/>
    <col min="995" max="995" width="5" style="3" customWidth="1"/>
    <col min="996" max="996" width="44.5546875" style="3" customWidth="1"/>
    <col min="997" max="997" width="14.6640625" style="3" customWidth="1"/>
    <col min="998" max="998" width="17.5546875" style="3" customWidth="1"/>
    <col min="999" max="999" width="29.109375" style="3" customWidth="1"/>
    <col min="1000" max="1000" width="13.109375" style="3" customWidth="1"/>
    <col min="1001" max="1001" width="31" style="3" customWidth="1"/>
    <col min="1002" max="1002" width="15" style="3" customWidth="1"/>
    <col min="1003" max="1003" width="29.109375" style="3" customWidth="1"/>
    <col min="1004" max="1004" width="13.88671875" style="3" customWidth="1"/>
    <col min="1005" max="1249" width="11.44140625" style="3"/>
    <col min="1250" max="1250" width="2.88671875" style="3" customWidth="1"/>
    <col min="1251" max="1251" width="5" style="3" customWidth="1"/>
    <col min="1252" max="1252" width="44.5546875" style="3" customWidth="1"/>
    <col min="1253" max="1253" width="14.6640625" style="3" customWidth="1"/>
    <col min="1254" max="1254" width="17.5546875" style="3" customWidth="1"/>
    <col min="1255" max="1255" width="29.109375" style="3" customWidth="1"/>
    <col min="1256" max="1256" width="13.109375" style="3" customWidth="1"/>
    <col min="1257" max="1257" width="31" style="3" customWidth="1"/>
    <col min="1258" max="1258" width="15" style="3" customWidth="1"/>
    <col min="1259" max="1259" width="29.109375" style="3" customWidth="1"/>
    <col min="1260" max="1260" width="13.88671875" style="3" customWidth="1"/>
    <col min="1261" max="1505" width="11.44140625" style="3"/>
    <col min="1506" max="1506" width="2.88671875" style="3" customWidth="1"/>
    <col min="1507" max="1507" width="5" style="3" customWidth="1"/>
    <col min="1508" max="1508" width="44.5546875" style="3" customWidth="1"/>
    <col min="1509" max="1509" width="14.6640625" style="3" customWidth="1"/>
    <col min="1510" max="1510" width="17.5546875" style="3" customWidth="1"/>
    <col min="1511" max="1511" width="29.109375" style="3" customWidth="1"/>
    <col min="1512" max="1512" width="13.109375" style="3" customWidth="1"/>
    <col min="1513" max="1513" width="31" style="3" customWidth="1"/>
    <col min="1514" max="1514" width="15" style="3" customWidth="1"/>
    <col min="1515" max="1515" width="29.109375" style="3" customWidth="1"/>
    <col min="1516" max="1516" width="13.88671875" style="3" customWidth="1"/>
    <col min="1517" max="1761" width="11.44140625" style="3"/>
    <col min="1762" max="1762" width="2.88671875" style="3" customWidth="1"/>
    <col min="1763" max="1763" width="5" style="3" customWidth="1"/>
    <col min="1764" max="1764" width="44.5546875" style="3" customWidth="1"/>
    <col min="1765" max="1765" width="14.6640625" style="3" customWidth="1"/>
    <col min="1766" max="1766" width="17.5546875" style="3" customWidth="1"/>
    <col min="1767" max="1767" width="29.109375" style="3" customWidth="1"/>
    <col min="1768" max="1768" width="13.109375" style="3" customWidth="1"/>
    <col min="1769" max="1769" width="31" style="3" customWidth="1"/>
    <col min="1770" max="1770" width="15" style="3" customWidth="1"/>
    <col min="1771" max="1771" width="29.109375" style="3" customWidth="1"/>
    <col min="1772" max="1772" width="13.88671875" style="3" customWidth="1"/>
    <col min="1773" max="2017" width="11.44140625" style="3"/>
    <col min="2018" max="2018" width="2.88671875" style="3" customWidth="1"/>
    <col min="2019" max="2019" width="5" style="3" customWidth="1"/>
    <col min="2020" max="2020" width="44.5546875" style="3" customWidth="1"/>
    <col min="2021" max="2021" width="14.6640625" style="3" customWidth="1"/>
    <col min="2022" max="2022" width="17.5546875" style="3" customWidth="1"/>
    <col min="2023" max="2023" width="29.109375" style="3" customWidth="1"/>
    <col min="2024" max="2024" width="13.109375" style="3" customWidth="1"/>
    <col min="2025" max="2025" width="31" style="3" customWidth="1"/>
    <col min="2026" max="2026" width="15" style="3" customWidth="1"/>
    <col min="2027" max="2027" width="29.109375" style="3" customWidth="1"/>
    <col min="2028" max="2028" width="13.88671875" style="3" customWidth="1"/>
    <col min="2029" max="2273" width="11.44140625" style="3"/>
    <col min="2274" max="2274" width="2.88671875" style="3" customWidth="1"/>
    <col min="2275" max="2275" width="5" style="3" customWidth="1"/>
    <col min="2276" max="2276" width="44.5546875" style="3" customWidth="1"/>
    <col min="2277" max="2277" width="14.6640625" style="3" customWidth="1"/>
    <col min="2278" max="2278" width="17.5546875" style="3" customWidth="1"/>
    <col min="2279" max="2279" width="29.109375" style="3" customWidth="1"/>
    <col min="2280" max="2280" width="13.109375" style="3" customWidth="1"/>
    <col min="2281" max="2281" width="31" style="3" customWidth="1"/>
    <col min="2282" max="2282" width="15" style="3" customWidth="1"/>
    <col min="2283" max="2283" width="29.109375" style="3" customWidth="1"/>
    <col min="2284" max="2284" width="13.88671875" style="3" customWidth="1"/>
    <col min="2285" max="2529" width="11.44140625" style="3"/>
    <col min="2530" max="2530" width="2.88671875" style="3" customWidth="1"/>
    <col min="2531" max="2531" width="5" style="3" customWidth="1"/>
    <col min="2532" max="2532" width="44.5546875" style="3" customWidth="1"/>
    <col min="2533" max="2533" width="14.6640625" style="3" customWidth="1"/>
    <col min="2534" max="2534" width="17.5546875" style="3" customWidth="1"/>
    <col min="2535" max="2535" width="29.109375" style="3" customWidth="1"/>
    <col min="2536" max="2536" width="13.109375" style="3" customWidth="1"/>
    <col min="2537" max="2537" width="31" style="3" customWidth="1"/>
    <col min="2538" max="2538" width="15" style="3" customWidth="1"/>
    <col min="2539" max="2539" width="29.109375" style="3" customWidth="1"/>
    <col min="2540" max="2540" width="13.88671875" style="3" customWidth="1"/>
    <col min="2541" max="2785" width="11.44140625" style="3"/>
    <col min="2786" max="2786" width="2.88671875" style="3" customWidth="1"/>
    <col min="2787" max="2787" width="5" style="3" customWidth="1"/>
    <col min="2788" max="2788" width="44.5546875" style="3" customWidth="1"/>
    <col min="2789" max="2789" width="14.6640625" style="3" customWidth="1"/>
    <col min="2790" max="2790" width="17.5546875" style="3" customWidth="1"/>
    <col min="2791" max="2791" width="29.109375" style="3" customWidth="1"/>
    <col min="2792" max="2792" width="13.109375" style="3" customWidth="1"/>
    <col min="2793" max="2793" width="31" style="3" customWidth="1"/>
    <col min="2794" max="2794" width="15" style="3" customWidth="1"/>
    <col min="2795" max="2795" width="29.109375" style="3" customWidth="1"/>
    <col min="2796" max="2796" width="13.88671875" style="3" customWidth="1"/>
    <col min="2797" max="3041" width="11.44140625" style="3"/>
    <col min="3042" max="3042" width="2.88671875" style="3" customWidth="1"/>
    <col min="3043" max="3043" width="5" style="3" customWidth="1"/>
    <col min="3044" max="3044" width="44.5546875" style="3" customWidth="1"/>
    <col min="3045" max="3045" width="14.6640625" style="3" customWidth="1"/>
    <col min="3046" max="3046" width="17.5546875" style="3" customWidth="1"/>
    <col min="3047" max="3047" width="29.109375" style="3" customWidth="1"/>
    <col min="3048" max="3048" width="13.109375" style="3" customWidth="1"/>
    <col min="3049" max="3049" width="31" style="3" customWidth="1"/>
    <col min="3050" max="3050" width="15" style="3" customWidth="1"/>
    <col min="3051" max="3051" width="29.109375" style="3" customWidth="1"/>
    <col min="3052" max="3052" width="13.88671875" style="3" customWidth="1"/>
    <col min="3053" max="3297" width="11.44140625" style="3"/>
    <col min="3298" max="3298" width="2.88671875" style="3" customWidth="1"/>
    <col min="3299" max="3299" width="5" style="3" customWidth="1"/>
    <col min="3300" max="3300" width="44.5546875" style="3" customWidth="1"/>
    <col min="3301" max="3301" width="14.6640625" style="3" customWidth="1"/>
    <col min="3302" max="3302" width="17.5546875" style="3" customWidth="1"/>
    <col min="3303" max="3303" width="29.109375" style="3" customWidth="1"/>
    <col min="3304" max="3304" width="13.109375" style="3" customWidth="1"/>
    <col min="3305" max="3305" width="31" style="3" customWidth="1"/>
    <col min="3306" max="3306" width="15" style="3" customWidth="1"/>
    <col min="3307" max="3307" width="29.109375" style="3" customWidth="1"/>
    <col min="3308" max="3308" width="13.88671875" style="3" customWidth="1"/>
    <col min="3309" max="3553" width="11.44140625" style="3"/>
    <col min="3554" max="3554" width="2.88671875" style="3" customWidth="1"/>
    <col min="3555" max="3555" width="5" style="3" customWidth="1"/>
    <col min="3556" max="3556" width="44.5546875" style="3" customWidth="1"/>
    <col min="3557" max="3557" width="14.6640625" style="3" customWidth="1"/>
    <col min="3558" max="3558" width="17.5546875" style="3" customWidth="1"/>
    <col min="3559" max="3559" width="29.109375" style="3" customWidth="1"/>
    <col min="3560" max="3560" width="13.109375" style="3" customWidth="1"/>
    <col min="3561" max="3561" width="31" style="3" customWidth="1"/>
    <col min="3562" max="3562" width="15" style="3" customWidth="1"/>
    <col min="3563" max="3563" width="29.109375" style="3" customWidth="1"/>
    <col min="3564" max="3564" width="13.88671875" style="3" customWidth="1"/>
    <col min="3565" max="3809" width="11.44140625" style="3"/>
    <col min="3810" max="3810" width="2.88671875" style="3" customWidth="1"/>
    <col min="3811" max="3811" width="5" style="3" customWidth="1"/>
    <col min="3812" max="3812" width="44.5546875" style="3" customWidth="1"/>
    <col min="3813" max="3813" width="14.6640625" style="3" customWidth="1"/>
    <col min="3814" max="3814" width="17.5546875" style="3" customWidth="1"/>
    <col min="3815" max="3815" width="29.109375" style="3" customWidth="1"/>
    <col min="3816" max="3816" width="13.109375" style="3" customWidth="1"/>
    <col min="3817" max="3817" width="31" style="3" customWidth="1"/>
    <col min="3818" max="3818" width="15" style="3" customWidth="1"/>
    <col min="3819" max="3819" width="29.109375" style="3" customWidth="1"/>
    <col min="3820" max="3820" width="13.88671875" style="3" customWidth="1"/>
    <col min="3821" max="4065" width="11.44140625" style="3"/>
    <col min="4066" max="4066" width="2.88671875" style="3" customWidth="1"/>
    <col min="4067" max="4067" width="5" style="3" customWidth="1"/>
    <col min="4068" max="4068" width="44.5546875" style="3" customWidth="1"/>
    <col min="4069" max="4069" width="14.6640625" style="3" customWidth="1"/>
    <col min="4070" max="4070" width="17.5546875" style="3" customWidth="1"/>
    <col min="4071" max="4071" width="29.109375" style="3" customWidth="1"/>
    <col min="4072" max="4072" width="13.109375" style="3" customWidth="1"/>
    <col min="4073" max="4073" width="31" style="3" customWidth="1"/>
    <col min="4074" max="4074" width="15" style="3" customWidth="1"/>
    <col min="4075" max="4075" width="29.109375" style="3" customWidth="1"/>
    <col min="4076" max="4076" width="13.88671875" style="3" customWidth="1"/>
    <col min="4077" max="4321" width="11.44140625" style="3"/>
    <col min="4322" max="4322" width="2.88671875" style="3" customWidth="1"/>
    <col min="4323" max="4323" width="5" style="3" customWidth="1"/>
    <col min="4324" max="4324" width="44.5546875" style="3" customWidth="1"/>
    <col min="4325" max="4325" width="14.6640625" style="3" customWidth="1"/>
    <col min="4326" max="4326" width="17.5546875" style="3" customWidth="1"/>
    <col min="4327" max="4327" width="29.109375" style="3" customWidth="1"/>
    <col min="4328" max="4328" width="13.109375" style="3" customWidth="1"/>
    <col min="4329" max="4329" width="31" style="3" customWidth="1"/>
    <col min="4330" max="4330" width="15" style="3" customWidth="1"/>
    <col min="4331" max="4331" width="29.109375" style="3" customWidth="1"/>
    <col min="4332" max="4332" width="13.88671875" style="3" customWidth="1"/>
    <col min="4333" max="4577" width="11.44140625" style="3"/>
    <col min="4578" max="4578" width="2.88671875" style="3" customWidth="1"/>
    <col min="4579" max="4579" width="5" style="3" customWidth="1"/>
    <col min="4580" max="4580" width="44.5546875" style="3" customWidth="1"/>
    <col min="4581" max="4581" width="14.6640625" style="3" customWidth="1"/>
    <col min="4582" max="4582" width="17.5546875" style="3" customWidth="1"/>
    <col min="4583" max="4583" width="29.109375" style="3" customWidth="1"/>
    <col min="4584" max="4584" width="13.109375" style="3" customWidth="1"/>
    <col min="4585" max="4585" width="31" style="3" customWidth="1"/>
    <col min="4586" max="4586" width="15" style="3" customWidth="1"/>
    <col min="4587" max="4587" width="29.109375" style="3" customWidth="1"/>
    <col min="4588" max="4588" width="13.88671875" style="3" customWidth="1"/>
    <col min="4589" max="4833" width="11.44140625" style="3"/>
    <col min="4834" max="4834" width="2.88671875" style="3" customWidth="1"/>
    <col min="4835" max="4835" width="5" style="3" customWidth="1"/>
    <col min="4836" max="4836" width="44.5546875" style="3" customWidth="1"/>
    <col min="4837" max="4837" width="14.6640625" style="3" customWidth="1"/>
    <col min="4838" max="4838" width="17.5546875" style="3" customWidth="1"/>
    <col min="4839" max="4839" width="29.109375" style="3" customWidth="1"/>
    <col min="4840" max="4840" width="13.109375" style="3" customWidth="1"/>
    <col min="4841" max="4841" width="31" style="3" customWidth="1"/>
    <col min="4842" max="4842" width="15" style="3" customWidth="1"/>
    <col min="4843" max="4843" width="29.109375" style="3" customWidth="1"/>
    <col min="4844" max="4844" width="13.88671875" style="3" customWidth="1"/>
    <col min="4845" max="5089" width="11.44140625" style="3"/>
    <col min="5090" max="5090" width="2.88671875" style="3" customWidth="1"/>
    <col min="5091" max="5091" width="5" style="3" customWidth="1"/>
    <col min="5092" max="5092" width="44.5546875" style="3" customWidth="1"/>
    <col min="5093" max="5093" width="14.6640625" style="3" customWidth="1"/>
    <col min="5094" max="5094" width="17.5546875" style="3" customWidth="1"/>
    <col min="5095" max="5095" width="29.109375" style="3" customWidth="1"/>
    <col min="5096" max="5096" width="13.109375" style="3" customWidth="1"/>
    <col min="5097" max="5097" width="31" style="3" customWidth="1"/>
    <col min="5098" max="5098" width="15" style="3" customWidth="1"/>
    <col min="5099" max="5099" width="29.109375" style="3" customWidth="1"/>
    <col min="5100" max="5100" width="13.88671875" style="3" customWidth="1"/>
    <col min="5101" max="5345" width="11.44140625" style="3"/>
    <col min="5346" max="5346" width="2.88671875" style="3" customWidth="1"/>
    <col min="5347" max="5347" width="5" style="3" customWidth="1"/>
    <col min="5348" max="5348" width="44.5546875" style="3" customWidth="1"/>
    <col min="5349" max="5349" width="14.6640625" style="3" customWidth="1"/>
    <col min="5350" max="5350" width="17.5546875" style="3" customWidth="1"/>
    <col min="5351" max="5351" width="29.109375" style="3" customWidth="1"/>
    <col min="5352" max="5352" width="13.109375" style="3" customWidth="1"/>
    <col min="5353" max="5353" width="31" style="3" customWidth="1"/>
    <col min="5354" max="5354" width="15" style="3" customWidth="1"/>
    <col min="5355" max="5355" width="29.109375" style="3" customWidth="1"/>
    <col min="5356" max="5356" width="13.88671875" style="3" customWidth="1"/>
    <col min="5357" max="5601" width="11.44140625" style="3"/>
    <col min="5602" max="5602" width="2.88671875" style="3" customWidth="1"/>
    <col min="5603" max="5603" width="5" style="3" customWidth="1"/>
    <col min="5604" max="5604" width="44.5546875" style="3" customWidth="1"/>
    <col min="5605" max="5605" width="14.6640625" style="3" customWidth="1"/>
    <col min="5606" max="5606" width="17.5546875" style="3" customWidth="1"/>
    <col min="5607" max="5607" width="29.109375" style="3" customWidth="1"/>
    <col min="5608" max="5608" width="13.109375" style="3" customWidth="1"/>
    <col min="5609" max="5609" width="31" style="3" customWidth="1"/>
    <col min="5610" max="5610" width="15" style="3" customWidth="1"/>
    <col min="5611" max="5611" width="29.109375" style="3" customWidth="1"/>
    <col min="5612" max="5612" width="13.88671875" style="3" customWidth="1"/>
    <col min="5613" max="5857" width="11.44140625" style="3"/>
    <col min="5858" max="5858" width="2.88671875" style="3" customWidth="1"/>
    <col min="5859" max="5859" width="5" style="3" customWidth="1"/>
    <col min="5860" max="5860" width="44.5546875" style="3" customWidth="1"/>
    <col min="5861" max="5861" width="14.6640625" style="3" customWidth="1"/>
    <col min="5862" max="5862" width="17.5546875" style="3" customWidth="1"/>
    <col min="5863" max="5863" width="29.109375" style="3" customWidth="1"/>
    <col min="5864" max="5864" width="13.109375" style="3" customWidth="1"/>
    <col min="5865" max="5865" width="31" style="3" customWidth="1"/>
    <col min="5866" max="5866" width="15" style="3" customWidth="1"/>
    <col min="5867" max="5867" width="29.109375" style="3" customWidth="1"/>
    <col min="5868" max="5868" width="13.88671875" style="3" customWidth="1"/>
    <col min="5869" max="6113" width="11.44140625" style="3"/>
    <col min="6114" max="6114" width="2.88671875" style="3" customWidth="1"/>
    <col min="6115" max="6115" width="5" style="3" customWidth="1"/>
    <col min="6116" max="6116" width="44.5546875" style="3" customWidth="1"/>
    <col min="6117" max="6117" width="14.6640625" style="3" customWidth="1"/>
    <col min="6118" max="6118" width="17.5546875" style="3" customWidth="1"/>
    <col min="6119" max="6119" width="29.109375" style="3" customWidth="1"/>
    <col min="6120" max="6120" width="13.109375" style="3" customWidth="1"/>
    <col min="6121" max="6121" width="31" style="3" customWidth="1"/>
    <col min="6122" max="6122" width="15" style="3" customWidth="1"/>
    <col min="6123" max="6123" width="29.109375" style="3" customWidth="1"/>
    <col min="6124" max="6124" width="13.88671875" style="3" customWidth="1"/>
    <col min="6125" max="6369" width="11.44140625" style="3"/>
    <col min="6370" max="6370" width="2.88671875" style="3" customWidth="1"/>
    <col min="6371" max="6371" width="5" style="3" customWidth="1"/>
    <col min="6372" max="6372" width="44.5546875" style="3" customWidth="1"/>
    <col min="6373" max="6373" width="14.6640625" style="3" customWidth="1"/>
    <col min="6374" max="6374" width="17.5546875" style="3" customWidth="1"/>
    <col min="6375" max="6375" width="29.109375" style="3" customWidth="1"/>
    <col min="6376" max="6376" width="13.109375" style="3" customWidth="1"/>
    <col min="6377" max="6377" width="31" style="3" customWidth="1"/>
    <col min="6378" max="6378" width="15" style="3" customWidth="1"/>
    <col min="6379" max="6379" width="29.109375" style="3" customWidth="1"/>
    <col min="6380" max="6380" width="13.88671875" style="3" customWidth="1"/>
    <col min="6381" max="6625" width="11.44140625" style="3"/>
    <col min="6626" max="6626" width="2.88671875" style="3" customWidth="1"/>
    <col min="6627" max="6627" width="5" style="3" customWidth="1"/>
    <col min="6628" max="6628" width="44.5546875" style="3" customWidth="1"/>
    <col min="6629" max="6629" width="14.6640625" style="3" customWidth="1"/>
    <col min="6630" max="6630" width="17.5546875" style="3" customWidth="1"/>
    <col min="6631" max="6631" width="29.109375" style="3" customWidth="1"/>
    <col min="6632" max="6632" width="13.109375" style="3" customWidth="1"/>
    <col min="6633" max="6633" width="31" style="3" customWidth="1"/>
    <col min="6634" max="6634" width="15" style="3" customWidth="1"/>
    <col min="6635" max="6635" width="29.109375" style="3" customWidth="1"/>
    <col min="6636" max="6636" width="13.88671875" style="3" customWidth="1"/>
    <col min="6637" max="6881" width="11.44140625" style="3"/>
    <col min="6882" max="6882" width="2.88671875" style="3" customWidth="1"/>
    <col min="6883" max="6883" width="5" style="3" customWidth="1"/>
    <col min="6884" max="6884" width="44.5546875" style="3" customWidth="1"/>
    <col min="6885" max="6885" width="14.6640625" style="3" customWidth="1"/>
    <col min="6886" max="6886" width="17.5546875" style="3" customWidth="1"/>
    <col min="6887" max="6887" width="29.109375" style="3" customWidth="1"/>
    <col min="6888" max="6888" width="13.109375" style="3" customWidth="1"/>
    <col min="6889" max="6889" width="31" style="3" customWidth="1"/>
    <col min="6890" max="6890" width="15" style="3" customWidth="1"/>
    <col min="6891" max="6891" width="29.109375" style="3" customWidth="1"/>
    <col min="6892" max="6892" width="13.88671875" style="3" customWidth="1"/>
    <col min="6893" max="7137" width="11.44140625" style="3"/>
    <col min="7138" max="7138" width="2.88671875" style="3" customWidth="1"/>
    <col min="7139" max="7139" width="5" style="3" customWidth="1"/>
    <col min="7140" max="7140" width="44.5546875" style="3" customWidth="1"/>
    <col min="7141" max="7141" width="14.6640625" style="3" customWidth="1"/>
    <col min="7142" max="7142" width="17.5546875" style="3" customWidth="1"/>
    <col min="7143" max="7143" width="29.109375" style="3" customWidth="1"/>
    <col min="7144" max="7144" width="13.109375" style="3" customWidth="1"/>
    <col min="7145" max="7145" width="31" style="3" customWidth="1"/>
    <col min="7146" max="7146" width="15" style="3" customWidth="1"/>
    <col min="7147" max="7147" width="29.109375" style="3" customWidth="1"/>
    <col min="7148" max="7148" width="13.88671875" style="3" customWidth="1"/>
    <col min="7149" max="7393" width="11.44140625" style="3"/>
    <col min="7394" max="7394" width="2.88671875" style="3" customWidth="1"/>
    <col min="7395" max="7395" width="5" style="3" customWidth="1"/>
    <col min="7396" max="7396" width="44.5546875" style="3" customWidth="1"/>
    <col min="7397" max="7397" width="14.6640625" style="3" customWidth="1"/>
    <col min="7398" max="7398" width="17.5546875" style="3" customWidth="1"/>
    <col min="7399" max="7399" width="29.109375" style="3" customWidth="1"/>
    <col min="7400" max="7400" width="13.109375" style="3" customWidth="1"/>
    <col min="7401" max="7401" width="31" style="3" customWidth="1"/>
    <col min="7402" max="7402" width="15" style="3" customWidth="1"/>
    <col min="7403" max="7403" width="29.109375" style="3" customWidth="1"/>
    <col min="7404" max="7404" width="13.88671875" style="3" customWidth="1"/>
    <col min="7405" max="7649" width="11.44140625" style="3"/>
    <col min="7650" max="7650" width="2.88671875" style="3" customWidth="1"/>
    <col min="7651" max="7651" width="5" style="3" customWidth="1"/>
    <col min="7652" max="7652" width="44.5546875" style="3" customWidth="1"/>
    <col min="7653" max="7653" width="14.6640625" style="3" customWidth="1"/>
    <col min="7654" max="7654" width="17.5546875" style="3" customWidth="1"/>
    <col min="7655" max="7655" width="29.109375" style="3" customWidth="1"/>
    <col min="7656" max="7656" width="13.109375" style="3" customWidth="1"/>
    <col min="7657" max="7657" width="31" style="3" customWidth="1"/>
    <col min="7658" max="7658" width="15" style="3" customWidth="1"/>
    <col min="7659" max="7659" width="29.109375" style="3" customWidth="1"/>
    <col min="7660" max="7660" width="13.88671875" style="3" customWidth="1"/>
    <col min="7661" max="7905" width="11.44140625" style="3"/>
    <col min="7906" max="7906" width="2.88671875" style="3" customWidth="1"/>
    <col min="7907" max="7907" width="5" style="3" customWidth="1"/>
    <col min="7908" max="7908" width="44.5546875" style="3" customWidth="1"/>
    <col min="7909" max="7909" width="14.6640625" style="3" customWidth="1"/>
    <col min="7910" max="7910" width="17.5546875" style="3" customWidth="1"/>
    <col min="7911" max="7911" width="29.109375" style="3" customWidth="1"/>
    <col min="7912" max="7912" width="13.109375" style="3" customWidth="1"/>
    <col min="7913" max="7913" width="31" style="3" customWidth="1"/>
    <col min="7914" max="7914" width="15" style="3" customWidth="1"/>
    <col min="7915" max="7915" width="29.109375" style="3" customWidth="1"/>
    <col min="7916" max="7916" width="13.88671875" style="3" customWidth="1"/>
    <col min="7917" max="8161" width="11.44140625" style="3"/>
    <col min="8162" max="8162" width="2.88671875" style="3" customWidth="1"/>
    <col min="8163" max="8163" width="5" style="3" customWidth="1"/>
    <col min="8164" max="8164" width="44.5546875" style="3" customWidth="1"/>
    <col min="8165" max="8165" width="14.6640625" style="3" customWidth="1"/>
    <col min="8166" max="8166" width="17.5546875" style="3" customWidth="1"/>
    <col min="8167" max="8167" width="29.109375" style="3" customWidth="1"/>
    <col min="8168" max="8168" width="13.109375" style="3" customWidth="1"/>
    <col min="8169" max="8169" width="31" style="3" customWidth="1"/>
    <col min="8170" max="8170" width="15" style="3" customWidth="1"/>
    <col min="8171" max="8171" width="29.109375" style="3" customWidth="1"/>
    <col min="8172" max="8172" width="13.88671875" style="3" customWidth="1"/>
    <col min="8173" max="8417" width="11.44140625" style="3"/>
    <col min="8418" max="8418" width="2.88671875" style="3" customWidth="1"/>
    <col min="8419" max="8419" width="5" style="3" customWidth="1"/>
    <col min="8420" max="8420" width="44.5546875" style="3" customWidth="1"/>
    <col min="8421" max="8421" width="14.6640625" style="3" customWidth="1"/>
    <col min="8422" max="8422" width="17.5546875" style="3" customWidth="1"/>
    <col min="8423" max="8423" width="29.109375" style="3" customWidth="1"/>
    <col min="8424" max="8424" width="13.109375" style="3" customWidth="1"/>
    <col min="8425" max="8425" width="31" style="3" customWidth="1"/>
    <col min="8426" max="8426" width="15" style="3" customWidth="1"/>
    <col min="8427" max="8427" width="29.109375" style="3" customWidth="1"/>
    <col min="8428" max="8428" width="13.88671875" style="3" customWidth="1"/>
    <col min="8429" max="8673" width="11.44140625" style="3"/>
    <col min="8674" max="8674" width="2.88671875" style="3" customWidth="1"/>
    <col min="8675" max="8675" width="5" style="3" customWidth="1"/>
    <col min="8676" max="8676" width="44.5546875" style="3" customWidth="1"/>
    <col min="8677" max="8677" width="14.6640625" style="3" customWidth="1"/>
    <col min="8678" max="8678" width="17.5546875" style="3" customWidth="1"/>
    <col min="8679" max="8679" width="29.109375" style="3" customWidth="1"/>
    <col min="8680" max="8680" width="13.109375" style="3" customWidth="1"/>
    <col min="8681" max="8681" width="31" style="3" customWidth="1"/>
    <col min="8682" max="8682" width="15" style="3" customWidth="1"/>
    <col min="8683" max="8683" width="29.109375" style="3" customWidth="1"/>
    <col min="8684" max="8684" width="13.88671875" style="3" customWidth="1"/>
    <col min="8685" max="8929" width="11.44140625" style="3"/>
    <col min="8930" max="8930" width="2.88671875" style="3" customWidth="1"/>
    <col min="8931" max="8931" width="5" style="3" customWidth="1"/>
    <col min="8932" max="8932" width="44.5546875" style="3" customWidth="1"/>
    <col min="8933" max="8933" width="14.6640625" style="3" customWidth="1"/>
    <col min="8934" max="8934" width="17.5546875" style="3" customWidth="1"/>
    <col min="8935" max="8935" width="29.109375" style="3" customWidth="1"/>
    <col min="8936" max="8936" width="13.109375" style="3" customWidth="1"/>
    <col min="8937" max="8937" width="31" style="3" customWidth="1"/>
    <col min="8938" max="8938" width="15" style="3" customWidth="1"/>
    <col min="8939" max="8939" width="29.109375" style="3" customWidth="1"/>
    <col min="8940" max="8940" width="13.88671875" style="3" customWidth="1"/>
    <col min="8941" max="9185" width="11.44140625" style="3"/>
    <col min="9186" max="9186" width="2.88671875" style="3" customWidth="1"/>
    <col min="9187" max="9187" width="5" style="3" customWidth="1"/>
    <col min="9188" max="9188" width="44.5546875" style="3" customWidth="1"/>
    <col min="9189" max="9189" width="14.6640625" style="3" customWidth="1"/>
    <col min="9190" max="9190" width="17.5546875" style="3" customWidth="1"/>
    <col min="9191" max="9191" width="29.109375" style="3" customWidth="1"/>
    <col min="9192" max="9192" width="13.109375" style="3" customWidth="1"/>
    <col min="9193" max="9193" width="31" style="3" customWidth="1"/>
    <col min="9194" max="9194" width="15" style="3" customWidth="1"/>
    <col min="9195" max="9195" width="29.109375" style="3" customWidth="1"/>
    <col min="9196" max="9196" width="13.88671875" style="3" customWidth="1"/>
    <col min="9197" max="9441" width="11.44140625" style="3"/>
    <col min="9442" max="9442" width="2.88671875" style="3" customWidth="1"/>
    <col min="9443" max="9443" width="5" style="3" customWidth="1"/>
    <col min="9444" max="9444" width="44.5546875" style="3" customWidth="1"/>
    <col min="9445" max="9445" width="14.6640625" style="3" customWidth="1"/>
    <col min="9446" max="9446" width="17.5546875" style="3" customWidth="1"/>
    <col min="9447" max="9447" width="29.109375" style="3" customWidth="1"/>
    <col min="9448" max="9448" width="13.109375" style="3" customWidth="1"/>
    <col min="9449" max="9449" width="31" style="3" customWidth="1"/>
    <col min="9450" max="9450" width="15" style="3" customWidth="1"/>
    <col min="9451" max="9451" width="29.109375" style="3" customWidth="1"/>
    <col min="9452" max="9452" width="13.88671875" style="3" customWidth="1"/>
    <col min="9453" max="9697" width="11.44140625" style="3"/>
    <col min="9698" max="9698" width="2.88671875" style="3" customWidth="1"/>
    <col min="9699" max="9699" width="5" style="3" customWidth="1"/>
    <col min="9700" max="9700" width="44.5546875" style="3" customWidth="1"/>
    <col min="9701" max="9701" width="14.6640625" style="3" customWidth="1"/>
    <col min="9702" max="9702" width="17.5546875" style="3" customWidth="1"/>
    <col min="9703" max="9703" width="29.109375" style="3" customWidth="1"/>
    <col min="9704" max="9704" width="13.109375" style="3" customWidth="1"/>
    <col min="9705" max="9705" width="31" style="3" customWidth="1"/>
    <col min="9706" max="9706" width="15" style="3" customWidth="1"/>
    <col min="9707" max="9707" width="29.109375" style="3" customWidth="1"/>
    <col min="9708" max="9708" width="13.88671875" style="3" customWidth="1"/>
    <col min="9709" max="9953" width="11.44140625" style="3"/>
    <col min="9954" max="9954" width="2.88671875" style="3" customWidth="1"/>
    <col min="9955" max="9955" width="5" style="3" customWidth="1"/>
    <col min="9956" max="9956" width="44.5546875" style="3" customWidth="1"/>
    <col min="9957" max="9957" width="14.6640625" style="3" customWidth="1"/>
    <col min="9958" max="9958" width="17.5546875" style="3" customWidth="1"/>
    <col min="9959" max="9959" width="29.109375" style="3" customWidth="1"/>
    <col min="9960" max="9960" width="13.109375" style="3" customWidth="1"/>
    <col min="9961" max="9961" width="31" style="3" customWidth="1"/>
    <col min="9962" max="9962" width="15" style="3" customWidth="1"/>
    <col min="9963" max="9963" width="29.109375" style="3" customWidth="1"/>
    <col min="9964" max="9964" width="13.88671875" style="3" customWidth="1"/>
    <col min="9965" max="10209" width="11.44140625" style="3"/>
    <col min="10210" max="10210" width="2.88671875" style="3" customWidth="1"/>
    <col min="10211" max="10211" width="5" style="3" customWidth="1"/>
    <col min="10212" max="10212" width="44.5546875" style="3" customWidth="1"/>
    <col min="10213" max="10213" width="14.6640625" style="3" customWidth="1"/>
    <col min="10214" max="10214" width="17.5546875" style="3" customWidth="1"/>
    <col min="10215" max="10215" width="29.109375" style="3" customWidth="1"/>
    <col min="10216" max="10216" width="13.109375" style="3" customWidth="1"/>
    <col min="10217" max="10217" width="31" style="3" customWidth="1"/>
    <col min="10218" max="10218" width="15" style="3" customWidth="1"/>
    <col min="10219" max="10219" width="29.109375" style="3" customWidth="1"/>
    <col min="10220" max="10220" width="13.88671875" style="3" customWidth="1"/>
    <col min="10221" max="10465" width="11.44140625" style="3"/>
    <col min="10466" max="10466" width="2.88671875" style="3" customWidth="1"/>
    <col min="10467" max="10467" width="5" style="3" customWidth="1"/>
    <col min="10468" max="10468" width="44.5546875" style="3" customWidth="1"/>
    <col min="10469" max="10469" width="14.6640625" style="3" customWidth="1"/>
    <col min="10470" max="10470" width="17.5546875" style="3" customWidth="1"/>
    <col min="10471" max="10471" width="29.109375" style="3" customWidth="1"/>
    <col min="10472" max="10472" width="13.109375" style="3" customWidth="1"/>
    <col min="10473" max="10473" width="31" style="3" customWidth="1"/>
    <col min="10474" max="10474" width="15" style="3" customWidth="1"/>
    <col min="10475" max="10475" width="29.109375" style="3" customWidth="1"/>
    <col min="10476" max="10476" width="13.88671875" style="3" customWidth="1"/>
    <col min="10477" max="10721" width="11.44140625" style="3"/>
    <col min="10722" max="10722" width="2.88671875" style="3" customWidth="1"/>
    <col min="10723" max="10723" width="5" style="3" customWidth="1"/>
    <col min="10724" max="10724" width="44.5546875" style="3" customWidth="1"/>
    <col min="10725" max="10725" width="14.6640625" style="3" customWidth="1"/>
    <col min="10726" max="10726" width="17.5546875" style="3" customWidth="1"/>
    <col min="10727" max="10727" width="29.109375" style="3" customWidth="1"/>
    <col min="10728" max="10728" width="13.109375" style="3" customWidth="1"/>
    <col min="10729" max="10729" width="31" style="3" customWidth="1"/>
    <col min="10730" max="10730" width="15" style="3" customWidth="1"/>
    <col min="10731" max="10731" width="29.109375" style="3" customWidth="1"/>
    <col min="10732" max="10732" width="13.88671875" style="3" customWidth="1"/>
    <col min="10733" max="10977" width="11.44140625" style="3"/>
    <col min="10978" max="10978" width="2.88671875" style="3" customWidth="1"/>
    <col min="10979" max="10979" width="5" style="3" customWidth="1"/>
    <col min="10980" max="10980" width="44.5546875" style="3" customWidth="1"/>
    <col min="10981" max="10981" width="14.6640625" style="3" customWidth="1"/>
    <col min="10982" max="10982" width="17.5546875" style="3" customWidth="1"/>
    <col min="10983" max="10983" width="29.109375" style="3" customWidth="1"/>
    <col min="10984" max="10984" width="13.109375" style="3" customWidth="1"/>
    <col min="10985" max="10985" width="31" style="3" customWidth="1"/>
    <col min="10986" max="10986" width="15" style="3" customWidth="1"/>
    <col min="10987" max="10987" width="29.109375" style="3" customWidth="1"/>
    <col min="10988" max="10988" width="13.88671875" style="3" customWidth="1"/>
    <col min="10989" max="11233" width="11.44140625" style="3"/>
    <col min="11234" max="11234" width="2.88671875" style="3" customWidth="1"/>
    <col min="11235" max="11235" width="5" style="3" customWidth="1"/>
    <col min="11236" max="11236" width="44.5546875" style="3" customWidth="1"/>
    <col min="11237" max="11237" width="14.6640625" style="3" customWidth="1"/>
    <col min="11238" max="11238" width="17.5546875" style="3" customWidth="1"/>
    <col min="11239" max="11239" width="29.109375" style="3" customWidth="1"/>
    <col min="11240" max="11240" width="13.109375" style="3" customWidth="1"/>
    <col min="11241" max="11241" width="31" style="3" customWidth="1"/>
    <col min="11242" max="11242" width="15" style="3" customWidth="1"/>
    <col min="11243" max="11243" width="29.109375" style="3" customWidth="1"/>
    <col min="11244" max="11244" width="13.88671875" style="3" customWidth="1"/>
    <col min="11245" max="11489" width="11.44140625" style="3"/>
    <col min="11490" max="11490" width="2.88671875" style="3" customWidth="1"/>
    <col min="11491" max="11491" width="5" style="3" customWidth="1"/>
    <col min="11492" max="11492" width="44.5546875" style="3" customWidth="1"/>
    <col min="11493" max="11493" width="14.6640625" style="3" customWidth="1"/>
    <col min="11494" max="11494" width="17.5546875" style="3" customWidth="1"/>
    <col min="11495" max="11495" width="29.109375" style="3" customWidth="1"/>
    <col min="11496" max="11496" width="13.109375" style="3" customWidth="1"/>
    <col min="11497" max="11497" width="31" style="3" customWidth="1"/>
    <col min="11498" max="11498" width="15" style="3" customWidth="1"/>
    <col min="11499" max="11499" width="29.109375" style="3" customWidth="1"/>
    <col min="11500" max="11500" width="13.88671875" style="3" customWidth="1"/>
    <col min="11501" max="11745" width="11.44140625" style="3"/>
    <col min="11746" max="11746" width="2.88671875" style="3" customWidth="1"/>
    <col min="11747" max="11747" width="5" style="3" customWidth="1"/>
    <col min="11748" max="11748" width="44.5546875" style="3" customWidth="1"/>
    <col min="11749" max="11749" width="14.6640625" style="3" customWidth="1"/>
    <col min="11750" max="11750" width="17.5546875" style="3" customWidth="1"/>
    <col min="11751" max="11751" width="29.109375" style="3" customWidth="1"/>
    <col min="11752" max="11752" width="13.109375" style="3" customWidth="1"/>
    <col min="11753" max="11753" width="31" style="3" customWidth="1"/>
    <col min="11754" max="11754" width="15" style="3" customWidth="1"/>
    <col min="11755" max="11755" width="29.109375" style="3" customWidth="1"/>
    <col min="11756" max="11756" width="13.88671875" style="3" customWidth="1"/>
    <col min="11757" max="12001" width="11.44140625" style="3"/>
    <col min="12002" max="12002" width="2.88671875" style="3" customWidth="1"/>
    <col min="12003" max="12003" width="5" style="3" customWidth="1"/>
    <col min="12004" max="12004" width="44.5546875" style="3" customWidth="1"/>
    <col min="12005" max="12005" width="14.6640625" style="3" customWidth="1"/>
    <col min="12006" max="12006" width="17.5546875" style="3" customWidth="1"/>
    <col min="12007" max="12007" width="29.109375" style="3" customWidth="1"/>
    <col min="12008" max="12008" width="13.109375" style="3" customWidth="1"/>
    <col min="12009" max="12009" width="31" style="3" customWidth="1"/>
    <col min="12010" max="12010" width="15" style="3" customWidth="1"/>
    <col min="12011" max="12011" width="29.109375" style="3" customWidth="1"/>
    <col min="12012" max="12012" width="13.88671875" style="3" customWidth="1"/>
    <col min="12013" max="12257" width="11.44140625" style="3"/>
    <col min="12258" max="12258" width="2.88671875" style="3" customWidth="1"/>
    <col min="12259" max="12259" width="5" style="3" customWidth="1"/>
    <col min="12260" max="12260" width="44.5546875" style="3" customWidth="1"/>
    <col min="12261" max="12261" width="14.6640625" style="3" customWidth="1"/>
    <col min="12262" max="12262" width="17.5546875" style="3" customWidth="1"/>
    <col min="12263" max="12263" width="29.109375" style="3" customWidth="1"/>
    <col min="12264" max="12264" width="13.109375" style="3" customWidth="1"/>
    <col min="12265" max="12265" width="31" style="3" customWidth="1"/>
    <col min="12266" max="12266" width="15" style="3" customWidth="1"/>
    <col min="12267" max="12267" width="29.109375" style="3" customWidth="1"/>
    <col min="12268" max="12268" width="13.88671875" style="3" customWidth="1"/>
    <col min="12269" max="12513" width="11.44140625" style="3"/>
    <col min="12514" max="12514" width="2.88671875" style="3" customWidth="1"/>
    <col min="12515" max="12515" width="5" style="3" customWidth="1"/>
    <col min="12516" max="12516" width="44.5546875" style="3" customWidth="1"/>
    <col min="12517" max="12517" width="14.6640625" style="3" customWidth="1"/>
    <col min="12518" max="12518" width="17.5546875" style="3" customWidth="1"/>
    <col min="12519" max="12519" width="29.109375" style="3" customWidth="1"/>
    <col min="12520" max="12520" width="13.109375" style="3" customWidth="1"/>
    <col min="12521" max="12521" width="31" style="3" customWidth="1"/>
    <col min="12522" max="12522" width="15" style="3" customWidth="1"/>
    <col min="12523" max="12523" width="29.109375" style="3" customWidth="1"/>
    <col min="12524" max="12524" width="13.88671875" style="3" customWidth="1"/>
    <col min="12525" max="12769" width="11.44140625" style="3"/>
    <col min="12770" max="12770" width="2.88671875" style="3" customWidth="1"/>
    <col min="12771" max="12771" width="5" style="3" customWidth="1"/>
    <col min="12772" max="12772" width="44.5546875" style="3" customWidth="1"/>
    <col min="12773" max="12773" width="14.6640625" style="3" customWidth="1"/>
    <col min="12774" max="12774" width="17.5546875" style="3" customWidth="1"/>
    <col min="12775" max="12775" width="29.109375" style="3" customWidth="1"/>
    <col min="12776" max="12776" width="13.109375" style="3" customWidth="1"/>
    <col min="12777" max="12777" width="31" style="3" customWidth="1"/>
    <col min="12778" max="12778" width="15" style="3" customWidth="1"/>
    <col min="12779" max="12779" width="29.109375" style="3" customWidth="1"/>
    <col min="12780" max="12780" width="13.88671875" style="3" customWidth="1"/>
    <col min="12781" max="13025" width="11.44140625" style="3"/>
    <col min="13026" max="13026" width="2.88671875" style="3" customWidth="1"/>
    <col min="13027" max="13027" width="5" style="3" customWidth="1"/>
    <col min="13028" max="13028" width="44.5546875" style="3" customWidth="1"/>
    <col min="13029" max="13029" width="14.6640625" style="3" customWidth="1"/>
    <col min="13030" max="13030" width="17.5546875" style="3" customWidth="1"/>
    <col min="13031" max="13031" width="29.109375" style="3" customWidth="1"/>
    <col min="13032" max="13032" width="13.109375" style="3" customWidth="1"/>
    <col min="13033" max="13033" width="31" style="3" customWidth="1"/>
    <col min="13034" max="13034" width="15" style="3" customWidth="1"/>
    <col min="13035" max="13035" width="29.109375" style="3" customWidth="1"/>
    <col min="13036" max="13036" width="13.88671875" style="3" customWidth="1"/>
    <col min="13037" max="13281" width="11.44140625" style="3"/>
    <col min="13282" max="13282" width="2.88671875" style="3" customWidth="1"/>
    <col min="13283" max="13283" width="5" style="3" customWidth="1"/>
    <col min="13284" max="13284" width="44.5546875" style="3" customWidth="1"/>
    <col min="13285" max="13285" width="14.6640625" style="3" customWidth="1"/>
    <col min="13286" max="13286" width="17.5546875" style="3" customWidth="1"/>
    <col min="13287" max="13287" width="29.109375" style="3" customWidth="1"/>
    <col min="13288" max="13288" width="13.109375" style="3" customWidth="1"/>
    <col min="13289" max="13289" width="31" style="3" customWidth="1"/>
    <col min="13290" max="13290" width="15" style="3" customWidth="1"/>
    <col min="13291" max="13291" width="29.109375" style="3" customWidth="1"/>
    <col min="13292" max="13292" width="13.88671875" style="3" customWidth="1"/>
    <col min="13293" max="13537" width="11.44140625" style="3"/>
    <col min="13538" max="13538" width="2.88671875" style="3" customWidth="1"/>
    <col min="13539" max="13539" width="5" style="3" customWidth="1"/>
    <col min="13540" max="13540" width="44.5546875" style="3" customWidth="1"/>
    <col min="13541" max="13541" width="14.6640625" style="3" customWidth="1"/>
    <col min="13542" max="13542" width="17.5546875" style="3" customWidth="1"/>
    <col min="13543" max="13543" width="29.109375" style="3" customWidth="1"/>
    <col min="13544" max="13544" width="13.109375" style="3" customWidth="1"/>
    <col min="13545" max="13545" width="31" style="3" customWidth="1"/>
    <col min="13546" max="13546" width="15" style="3" customWidth="1"/>
    <col min="13547" max="13547" width="29.109375" style="3" customWidth="1"/>
    <col min="13548" max="13548" width="13.88671875" style="3" customWidth="1"/>
    <col min="13549" max="13793" width="11.44140625" style="3"/>
    <col min="13794" max="13794" width="2.88671875" style="3" customWidth="1"/>
    <col min="13795" max="13795" width="5" style="3" customWidth="1"/>
    <col min="13796" max="13796" width="44.5546875" style="3" customWidth="1"/>
    <col min="13797" max="13797" width="14.6640625" style="3" customWidth="1"/>
    <col min="13798" max="13798" width="17.5546875" style="3" customWidth="1"/>
    <col min="13799" max="13799" width="29.109375" style="3" customWidth="1"/>
    <col min="13800" max="13800" width="13.109375" style="3" customWidth="1"/>
    <col min="13801" max="13801" width="31" style="3" customWidth="1"/>
    <col min="13802" max="13802" width="15" style="3" customWidth="1"/>
    <col min="13803" max="13803" width="29.109375" style="3" customWidth="1"/>
    <col min="13804" max="13804" width="13.88671875" style="3" customWidth="1"/>
    <col min="13805" max="14049" width="11.44140625" style="3"/>
    <col min="14050" max="14050" width="2.88671875" style="3" customWidth="1"/>
    <col min="14051" max="14051" width="5" style="3" customWidth="1"/>
    <col min="14052" max="14052" width="44.5546875" style="3" customWidth="1"/>
    <col min="14053" max="14053" width="14.6640625" style="3" customWidth="1"/>
    <col min="14054" max="14054" width="17.5546875" style="3" customWidth="1"/>
    <col min="14055" max="14055" width="29.109375" style="3" customWidth="1"/>
    <col min="14056" max="14056" width="13.109375" style="3" customWidth="1"/>
    <col min="14057" max="14057" width="31" style="3" customWidth="1"/>
    <col min="14058" max="14058" width="15" style="3" customWidth="1"/>
    <col min="14059" max="14059" width="29.109375" style="3" customWidth="1"/>
    <col min="14060" max="14060" width="13.88671875" style="3" customWidth="1"/>
    <col min="14061" max="14305" width="11.44140625" style="3"/>
    <col min="14306" max="14306" width="2.88671875" style="3" customWidth="1"/>
    <col min="14307" max="14307" width="5" style="3" customWidth="1"/>
    <col min="14308" max="14308" width="44.5546875" style="3" customWidth="1"/>
    <col min="14309" max="14309" width="14.6640625" style="3" customWidth="1"/>
    <col min="14310" max="14310" width="17.5546875" style="3" customWidth="1"/>
    <col min="14311" max="14311" width="29.109375" style="3" customWidth="1"/>
    <col min="14312" max="14312" width="13.109375" style="3" customWidth="1"/>
    <col min="14313" max="14313" width="31" style="3" customWidth="1"/>
    <col min="14314" max="14314" width="15" style="3" customWidth="1"/>
    <col min="14315" max="14315" width="29.109375" style="3" customWidth="1"/>
    <col min="14316" max="14316" width="13.88671875" style="3" customWidth="1"/>
    <col min="14317" max="14561" width="11.44140625" style="3"/>
    <col min="14562" max="14562" width="2.88671875" style="3" customWidth="1"/>
    <col min="14563" max="14563" width="5" style="3" customWidth="1"/>
    <col min="14564" max="14564" width="44.5546875" style="3" customWidth="1"/>
    <col min="14565" max="14565" width="14.6640625" style="3" customWidth="1"/>
    <col min="14566" max="14566" width="17.5546875" style="3" customWidth="1"/>
    <col min="14567" max="14567" width="29.109375" style="3" customWidth="1"/>
    <col min="14568" max="14568" width="13.109375" style="3" customWidth="1"/>
    <col min="14569" max="14569" width="31" style="3" customWidth="1"/>
    <col min="14570" max="14570" width="15" style="3" customWidth="1"/>
    <col min="14571" max="14571" width="29.109375" style="3" customWidth="1"/>
    <col min="14572" max="14572" width="13.88671875" style="3" customWidth="1"/>
    <col min="14573" max="14817" width="11.44140625" style="3"/>
    <col min="14818" max="14818" width="2.88671875" style="3" customWidth="1"/>
    <col min="14819" max="14819" width="5" style="3" customWidth="1"/>
    <col min="14820" max="14820" width="44.5546875" style="3" customWidth="1"/>
    <col min="14821" max="14821" width="14.6640625" style="3" customWidth="1"/>
    <col min="14822" max="14822" width="17.5546875" style="3" customWidth="1"/>
    <col min="14823" max="14823" width="29.109375" style="3" customWidth="1"/>
    <col min="14824" max="14824" width="13.109375" style="3" customWidth="1"/>
    <col min="14825" max="14825" width="31" style="3" customWidth="1"/>
    <col min="14826" max="14826" width="15" style="3" customWidth="1"/>
    <col min="14827" max="14827" width="29.109375" style="3" customWidth="1"/>
    <col min="14828" max="14828" width="13.88671875" style="3" customWidth="1"/>
    <col min="14829" max="15073" width="11.44140625" style="3"/>
    <col min="15074" max="15074" width="2.88671875" style="3" customWidth="1"/>
    <col min="15075" max="15075" width="5" style="3" customWidth="1"/>
    <col min="15076" max="15076" width="44.5546875" style="3" customWidth="1"/>
    <col min="15077" max="15077" width="14.6640625" style="3" customWidth="1"/>
    <col min="15078" max="15078" width="17.5546875" style="3" customWidth="1"/>
    <col min="15079" max="15079" width="29.109375" style="3" customWidth="1"/>
    <col min="15080" max="15080" width="13.109375" style="3" customWidth="1"/>
    <col min="15081" max="15081" width="31" style="3" customWidth="1"/>
    <col min="15082" max="15082" width="15" style="3" customWidth="1"/>
    <col min="15083" max="15083" width="29.109375" style="3" customWidth="1"/>
    <col min="15084" max="15084" width="13.88671875" style="3" customWidth="1"/>
    <col min="15085" max="15329" width="11.44140625" style="3"/>
    <col min="15330" max="15330" width="2.88671875" style="3" customWidth="1"/>
    <col min="15331" max="15331" width="5" style="3" customWidth="1"/>
    <col min="15332" max="15332" width="44.5546875" style="3" customWidth="1"/>
    <col min="15333" max="15333" width="14.6640625" style="3" customWidth="1"/>
    <col min="15334" max="15334" width="17.5546875" style="3" customWidth="1"/>
    <col min="15335" max="15335" width="29.109375" style="3" customWidth="1"/>
    <col min="15336" max="15336" width="13.109375" style="3" customWidth="1"/>
    <col min="15337" max="15337" width="31" style="3" customWidth="1"/>
    <col min="15338" max="15338" width="15" style="3" customWidth="1"/>
    <col min="15339" max="15339" width="29.109375" style="3" customWidth="1"/>
    <col min="15340" max="15340" width="13.88671875" style="3" customWidth="1"/>
    <col min="15341" max="15585" width="11.44140625" style="3"/>
    <col min="15586" max="15586" width="2.88671875" style="3" customWidth="1"/>
    <col min="15587" max="15587" width="5" style="3" customWidth="1"/>
    <col min="15588" max="15588" width="44.5546875" style="3" customWidth="1"/>
    <col min="15589" max="15589" width="14.6640625" style="3" customWidth="1"/>
    <col min="15590" max="15590" width="17.5546875" style="3" customWidth="1"/>
    <col min="15591" max="15591" width="29.109375" style="3" customWidth="1"/>
    <col min="15592" max="15592" width="13.109375" style="3" customWidth="1"/>
    <col min="15593" max="15593" width="31" style="3" customWidth="1"/>
    <col min="15594" max="15594" width="15" style="3" customWidth="1"/>
    <col min="15595" max="15595" width="29.109375" style="3" customWidth="1"/>
    <col min="15596" max="15596" width="13.88671875" style="3" customWidth="1"/>
    <col min="15597" max="15841" width="11.44140625" style="3"/>
    <col min="15842" max="15842" width="2.88671875" style="3" customWidth="1"/>
    <col min="15843" max="15843" width="5" style="3" customWidth="1"/>
    <col min="15844" max="15844" width="44.5546875" style="3" customWidth="1"/>
    <col min="15845" max="15845" width="14.6640625" style="3" customWidth="1"/>
    <col min="15846" max="15846" width="17.5546875" style="3" customWidth="1"/>
    <col min="15847" max="15847" width="29.109375" style="3" customWidth="1"/>
    <col min="15848" max="15848" width="13.109375" style="3" customWidth="1"/>
    <col min="15849" max="15849" width="31" style="3" customWidth="1"/>
    <col min="15850" max="15850" width="15" style="3" customWidth="1"/>
    <col min="15851" max="15851" width="29.109375" style="3" customWidth="1"/>
    <col min="15852" max="15852" width="13.88671875" style="3" customWidth="1"/>
    <col min="15853" max="16097" width="11.44140625" style="3"/>
    <col min="16098" max="16098" width="2.88671875" style="3" customWidth="1"/>
    <col min="16099" max="16099" width="5" style="3" customWidth="1"/>
    <col min="16100" max="16100" width="44.5546875" style="3" customWidth="1"/>
    <col min="16101" max="16101" width="14.6640625" style="3" customWidth="1"/>
    <col min="16102" max="16102" width="17.5546875" style="3" customWidth="1"/>
    <col min="16103" max="16103" width="29.109375" style="3" customWidth="1"/>
    <col min="16104" max="16104" width="13.109375" style="3" customWidth="1"/>
    <col min="16105" max="16105" width="31" style="3" customWidth="1"/>
    <col min="16106" max="16106" width="15" style="3" customWidth="1"/>
    <col min="16107" max="16107" width="29.109375" style="3" customWidth="1"/>
    <col min="16108" max="16108" width="13.88671875" style="3" customWidth="1"/>
    <col min="16109" max="16384" width="11.44140625" style="3"/>
  </cols>
  <sheetData>
    <row r="1" spans="2:57" ht="34.950000000000003" customHeight="1" x14ac:dyDescent="0.3">
      <c r="B1" s="74" t="s">
        <v>0</v>
      </c>
      <c r="C1" s="74"/>
      <c r="D1" s="74"/>
      <c r="E1" s="74"/>
      <c r="F1" s="2"/>
      <c r="G1" s="2"/>
      <c r="H1" s="1"/>
      <c r="I1" s="54"/>
      <c r="J1" s="2"/>
      <c r="K1" s="2"/>
    </row>
    <row r="2" spans="2:57" ht="46.2" customHeight="1" x14ac:dyDescent="0.3">
      <c r="B2" s="75" t="s">
        <v>37</v>
      </c>
      <c r="C2" s="75"/>
      <c r="D2" s="75"/>
      <c r="E2" s="75"/>
      <c r="F2" s="75"/>
      <c r="G2" s="75"/>
      <c r="H2" s="75"/>
      <c r="I2" s="75"/>
      <c r="J2" s="75"/>
      <c r="K2" s="75"/>
    </row>
    <row r="3" spans="2:57" s="4" customFormat="1" ht="27" customHeight="1" x14ac:dyDescent="0.3">
      <c r="B3" s="77"/>
      <c r="C3" s="77"/>
      <c r="D3" s="77"/>
      <c r="E3" s="77"/>
      <c r="F3" s="78"/>
      <c r="G3" s="78"/>
      <c r="H3" s="78"/>
      <c r="I3" s="78"/>
      <c r="J3" s="78"/>
      <c r="K3" s="78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</row>
    <row r="4" spans="2:57" s="5" customFormat="1" ht="24.9" customHeight="1" x14ac:dyDescent="0.3">
      <c r="B4" s="18" t="s">
        <v>1</v>
      </c>
      <c r="C4" s="18" t="s">
        <v>2</v>
      </c>
      <c r="D4" s="18" t="s">
        <v>3</v>
      </c>
      <c r="E4" s="18" t="s">
        <v>4</v>
      </c>
      <c r="F4" s="20"/>
      <c r="G4" s="21" t="s">
        <v>3</v>
      </c>
      <c r="H4" s="19"/>
      <c r="I4" s="18" t="s">
        <v>3</v>
      </c>
      <c r="J4" s="19"/>
      <c r="K4" s="18" t="s">
        <v>3</v>
      </c>
      <c r="L4" s="19"/>
      <c r="M4" s="18" t="s">
        <v>3</v>
      </c>
      <c r="N4" s="19"/>
      <c r="O4" s="18" t="s">
        <v>3</v>
      </c>
      <c r="P4" s="19"/>
      <c r="Q4" s="18" t="s">
        <v>3</v>
      </c>
      <c r="R4" s="19"/>
      <c r="S4" s="18" t="s">
        <v>3</v>
      </c>
      <c r="T4" s="19"/>
      <c r="U4" s="18" t="s">
        <v>3</v>
      </c>
      <c r="V4" s="19"/>
      <c r="W4" s="18" t="s">
        <v>3</v>
      </c>
      <c r="X4" s="19"/>
      <c r="Y4" s="18" t="s">
        <v>3</v>
      </c>
      <c r="Z4" s="19"/>
      <c r="AA4" s="18" t="s">
        <v>3</v>
      </c>
      <c r="AB4" s="19"/>
      <c r="AC4" s="18" t="s">
        <v>3</v>
      </c>
      <c r="AD4" s="19"/>
      <c r="AE4" s="18" t="s">
        <v>3</v>
      </c>
      <c r="AF4" s="19"/>
      <c r="AG4" s="18" t="s">
        <v>3</v>
      </c>
      <c r="AH4" s="19"/>
      <c r="AI4" s="18" t="s">
        <v>3</v>
      </c>
      <c r="AJ4" s="19"/>
      <c r="AK4" s="18" t="s">
        <v>3</v>
      </c>
      <c r="AL4" s="19"/>
      <c r="AM4" s="18" t="s">
        <v>3</v>
      </c>
      <c r="AN4" s="19"/>
      <c r="AO4" s="18" t="s">
        <v>3</v>
      </c>
      <c r="AP4" s="19"/>
      <c r="AQ4" s="18" t="s">
        <v>3</v>
      </c>
      <c r="AR4" s="19"/>
      <c r="AS4" s="18" t="s">
        <v>3</v>
      </c>
      <c r="AT4" s="19"/>
      <c r="AU4" s="18" t="s">
        <v>3</v>
      </c>
      <c r="AV4" s="19"/>
      <c r="AW4" s="18" t="s">
        <v>3</v>
      </c>
      <c r="AX4" s="19"/>
      <c r="AY4" s="18" t="s">
        <v>3</v>
      </c>
      <c r="AZ4" s="19"/>
      <c r="BA4" s="18" t="s">
        <v>3</v>
      </c>
      <c r="BB4" s="19"/>
      <c r="BC4" s="18" t="s">
        <v>3</v>
      </c>
      <c r="BD4" s="19"/>
      <c r="BE4" s="18" t="s">
        <v>3</v>
      </c>
    </row>
    <row r="5" spans="2:57" s="6" customFormat="1" ht="13.8" x14ac:dyDescent="0.3">
      <c r="B5" s="76" t="s">
        <v>5</v>
      </c>
      <c r="C5" s="76"/>
      <c r="D5" s="24"/>
      <c r="E5" s="23"/>
      <c r="F5" s="71"/>
      <c r="G5" s="71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</row>
    <row r="6" spans="2:57" s="6" customFormat="1" ht="75" customHeight="1" x14ac:dyDescent="0.3">
      <c r="B6" s="21" t="s">
        <v>6</v>
      </c>
      <c r="C6" s="25" t="s">
        <v>42</v>
      </c>
      <c r="D6" s="21" t="s">
        <v>7</v>
      </c>
      <c r="E6" s="21" t="s">
        <v>7</v>
      </c>
      <c r="F6" s="61"/>
      <c r="G6" s="55"/>
      <c r="H6" s="61"/>
      <c r="I6" s="21"/>
      <c r="J6" s="61"/>
      <c r="K6" s="21"/>
      <c r="L6" s="61"/>
      <c r="M6" s="21"/>
      <c r="N6" s="61"/>
      <c r="O6" s="21"/>
      <c r="P6" s="61"/>
      <c r="Q6" s="21"/>
      <c r="R6" s="61"/>
      <c r="S6" s="21"/>
      <c r="T6" s="61"/>
      <c r="U6" s="21"/>
      <c r="V6" s="61"/>
      <c r="W6" s="21"/>
      <c r="X6" s="61"/>
      <c r="Y6" s="21"/>
      <c r="Z6" s="61"/>
      <c r="AA6" s="21"/>
      <c r="AB6" s="61"/>
      <c r="AC6" s="21"/>
      <c r="AD6" s="61"/>
      <c r="AE6" s="21"/>
      <c r="AF6" s="61"/>
      <c r="AG6" s="21"/>
      <c r="AH6" s="61"/>
      <c r="AI6" s="21"/>
      <c r="AJ6" s="61"/>
      <c r="AK6" s="21"/>
      <c r="AL6" s="61"/>
      <c r="AM6" s="21"/>
      <c r="AN6" s="61"/>
      <c r="AO6" s="21"/>
      <c r="AP6" s="61"/>
      <c r="AQ6" s="21"/>
      <c r="AR6" s="61"/>
      <c r="AS6" s="21"/>
      <c r="AT6" s="61"/>
      <c r="AU6" s="21"/>
      <c r="AV6" s="61"/>
      <c r="AW6" s="21"/>
      <c r="AX6" s="61"/>
      <c r="AY6" s="21"/>
      <c r="AZ6" s="61"/>
      <c r="BA6" s="21"/>
      <c r="BB6" s="61"/>
      <c r="BC6" s="21"/>
      <c r="BD6" s="61"/>
      <c r="BE6" s="21"/>
    </row>
    <row r="7" spans="2:57" s="6" customFormat="1" ht="13.8" x14ac:dyDescent="0.3">
      <c r="B7" s="76" t="s">
        <v>8</v>
      </c>
      <c r="C7" s="76"/>
      <c r="D7" s="24">
        <f>+D11</f>
        <v>0</v>
      </c>
      <c r="E7" s="23" t="e">
        <f>+E9+E10+E11</f>
        <v>#VALUE!</v>
      </c>
      <c r="F7" s="27"/>
      <c r="G7" s="28">
        <f>SUM(G8:G11)</f>
        <v>0</v>
      </c>
      <c r="H7" s="27"/>
      <c r="I7" s="28">
        <f>SUM(I8:I11)</f>
        <v>0</v>
      </c>
      <c r="J7" s="27"/>
      <c r="K7" s="28">
        <f>SUM(K8:K11)</f>
        <v>0</v>
      </c>
      <c r="L7" s="27"/>
      <c r="M7" s="28">
        <f>SUM(M8:M11)</f>
        <v>0</v>
      </c>
      <c r="N7" s="27"/>
      <c r="O7" s="28">
        <f>SUM(O8:O11)</f>
        <v>0</v>
      </c>
      <c r="P7" s="27"/>
      <c r="Q7" s="28">
        <f>SUM(Q8:Q11)</f>
        <v>0</v>
      </c>
      <c r="R7" s="27"/>
      <c r="S7" s="28">
        <f>SUM(S8:S11)</f>
        <v>0</v>
      </c>
      <c r="T7" s="27"/>
      <c r="U7" s="28">
        <f>SUM(U8:U11)</f>
        <v>0</v>
      </c>
      <c r="V7" s="27"/>
      <c r="W7" s="28">
        <f t="shared" ref="W7" si="0">SUM(W8:W11)</f>
        <v>0</v>
      </c>
      <c r="X7" s="27"/>
      <c r="Y7" s="28">
        <f t="shared" ref="Y7" si="1">SUM(Y8:Y11)</f>
        <v>0</v>
      </c>
      <c r="Z7" s="27"/>
      <c r="AA7" s="28">
        <f t="shared" ref="AA7" si="2">SUM(AA8:AA11)</f>
        <v>0</v>
      </c>
      <c r="AB7" s="27"/>
      <c r="AC7" s="28">
        <f t="shared" ref="AC7" si="3">SUM(AC8:AC11)</f>
        <v>0</v>
      </c>
      <c r="AD7" s="27"/>
      <c r="AE7" s="28">
        <f t="shared" ref="AE7" si="4">SUM(AE8:AE11)</f>
        <v>0</v>
      </c>
      <c r="AF7" s="27"/>
      <c r="AG7" s="28">
        <f t="shared" ref="AG7" si="5">SUM(AG8:AG11)</f>
        <v>0</v>
      </c>
      <c r="AH7" s="27"/>
      <c r="AI7" s="28">
        <f t="shared" ref="AI7" si="6">SUM(AI8:AI11)</f>
        <v>0</v>
      </c>
      <c r="AJ7" s="27"/>
      <c r="AK7" s="28">
        <f t="shared" ref="AK7" si="7">SUM(AK8:AK11)</f>
        <v>0</v>
      </c>
      <c r="AL7" s="27"/>
      <c r="AM7" s="28">
        <f t="shared" ref="AM7" si="8">SUM(AM8:AM11)</f>
        <v>0</v>
      </c>
      <c r="AN7" s="27"/>
      <c r="AO7" s="28">
        <f t="shared" ref="AO7" si="9">SUM(AO8:AO11)</f>
        <v>0</v>
      </c>
      <c r="AP7" s="27"/>
      <c r="AQ7" s="28">
        <f t="shared" ref="AQ7" si="10">SUM(AQ8:AQ11)</f>
        <v>0</v>
      </c>
      <c r="AR7" s="27"/>
      <c r="AS7" s="28">
        <f t="shared" ref="AS7" si="11">SUM(AS8:AS11)</f>
        <v>0</v>
      </c>
      <c r="AT7" s="27"/>
      <c r="AU7" s="28">
        <f t="shared" ref="AU7" si="12">SUM(AU8:AU11)</f>
        <v>0</v>
      </c>
      <c r="AV7" s="27"/>
      <c r="AW7" s="28">
        <f t="shared" ref="AW7" si="13">SUM(AW8:AW11)</f>
        <v>0</v>
      </c>
      <c r="AX7" s="27"/>
      <c r="AY7" s="28">
        <f t="shared" ref="AY7" si="14">SUM(AY8:AY11)</f>
        <v>0</v>
      </c>
      <c r="AZ7" s="27"/>
      <c r="BA7" s="28">
        <f t="shared" ref="BA7" si="15">SUM(BA8:BA11)</f>
        <v>0</v>
      </c>
      <c r="BB7" s="27"/>
      <c r="BC7" s="28">
        <f t="shared" ref="BC7" si="16">SUM(BC8:BC11)</f>
        <v>0</v>
      </c>
      <c r="BD7" s="27"/>
      <c r="BE7" s="28">
        <f t="shared" ref="BE7" si="17">SUM(BE8:BE11)</f>
        <v>0</v>
      </c>
    </row>
    <row r="8" spans="2:57" s="6" customFormat="1" ht="49.8" customHeight="1" x14ac:dyDescent="0.3">
      <c r="B8" s="72" t="s">
        <v>9</v>
      </c>
      <c r="C8" s="52" t="s">
        <v>38</v>
      </c>
      <c r="D8" s="21" t="s">
        <v>7</v>
      </c>
      <c r="E8" s="21" t="s">
        <v>7</v>
      </c>
      <c r="F8" s="60"/>
      <c r="G8" s="55"/>
      <c r="H8" s="60"/>
      <c r="I8" s="55"/>
      <c r="J8" s="60"/>
      <c r="K8" s="21"/>
      <c r="L8" s="64"/>
      <c r="M8" s="21"/>
      <c r="N8" s="64"/>
      <c r="O8" s="21"/>
      <c r="P8" s="64"/>
      <c r="Q8" s="21"/>
      <c r="R8" s="64"/>
      <c r="S8" s="21"/>
      <c r="T8" s="64"/>
      <c r="U8" s="21"/>
      <c r="V8" s="64"/>
      <c r="W8" s="21"/>
      <c r="X8" s="64"/>
      <c r="Y8" s="21"/>
      <c r="Z8" s="64"/>
      <c r="AA8" s="21"/>
      <c r="AB8" s="64"/>
      <c r="AC8" s="21"/>
      <c r="AD8" s="64"/>
      <c r="AE8" s="21"/>
      <c r="AF8" s="64"/>
      <c r="AG8" s="21"/>
      <c r="AH8" s="64"/>
      <c r="AI8" s="21"/>
      <c r="AJ8" s="64"/>
      <c r="AK8" s="21"/>
      <c r="AL8" s="64"/>
      <c r="AM8" s="21"/>
      <c r="AN8" s="64"/>
      <c r="AO8" s="21"/>
      <c r="AP8" s="64"/>
      <c r="AQ8" s="21"/>
      <c r="AR8" s="64"/>
      <c r="AS8" s="21"/>
      <c r="AT8" s="64"/>
      <c r="AU8" s="21"/>
      <c r="AV8" s="64"/>
      <c r="AW8" s="21"/>
      <c r="AX8" s="64"/>
      <c r="AY8" s="21"/>
      <c r="AZ8" s="64"/>
      <c r="BA8" s="21"/>
      <c r="BB8" s="64"/>
      <c r="BC8" s="21"/>
      <c r="BD8" s="64"/>
      <c r="BE8" s="21"/>
    </row>
    <row r="9" spans="2:57" s="6" customFormat="1" ht="39.6" customHeight="1" x14ac:dyDescent="0.3">
      <c r="B9" s="73"/>
      <c r="C9" s="52" t="s">
        <v>39</v>
      </c>
      <c r="D9" s="21">
        <v>0</v>
      </c>
      <c r="E9" s="21" t="s">
        <v>29</v>
      </c>
      <c r="F9" s="64"/>
      <c r="G9" s="55"/>
      <c r="H9" s="64"/>
      <c r="I9" s="55"/>
      <c r="J9" s="64"/>
      <c r="K9" s="21"/>
      <c r="L9" s="64"/>
      <c r="M9" s="21"/>
      <c r="N9" s="64"/>
      <c r="O9" s="21"/>
      <c r="P9" s="64"/>
      <c r="Q9" s="21"/>
      <c r="R9" s="64"/>
      <c r="S9" s="21"/>
      <c r="T9" s="64"/>
      <c r="U9" s="21"/>
      <c r="V9" s="64"/>
      <c r="W9" s="21"/>
      <c r="X9" s="64"/>
      <c r="Y9" s="21"/>
      <c r="Z9" s="64"/>
      <c r="AA9" s="21"/>
      <c r="AB9" s="64"/>
      <c r="AC9" s="21"/>
      <c r="AD9" s="64"/>
      <c r="AE9" s="21"/>
      <c r="AF9" s="64"/>
      <c r="AG9" s="21"/>
      <c r="AH9" s="64"/>
      <c r="AI9" s="21"/>
      <c r="AJ9" s="64"/>
      <c r="AK9" s="21"/>
      <c r="AL9" s="64"/>
      <c r="AM9" s="21"/>
      <c r="AN9" s="64"/>
      <c r="AO9" s="21"/>
      <c r="AP9" s="64"/>
      <c r="AQ9" s="21"/>
      <c r="AR9" s="64"/>
      <c r="AS9" s="21"/>
      <c r="AT9" s="64"/>
      <c r="AU9" s="21"/>
      <c r="AV9" s="64"/>
      <c r="AW9" s="21"/>
      <c r="AX9" s="64"/>
      <c r="AY9" s="21"/>
      <c r="AZ9" s="64"/>
      <c r="BA9" s="21"/>
      <c r="BB9" s="64"/>
      <c r="BC9" s="21"/>
      <c r="BD9" s="64"/>
      <c r="BE9" s="21"/>
    </row>
    <row r="10" spans="2:57" s="6" customFormat="1" ht="39.6" customHeight="1" x14ac:dyDescent="0.3">
      <c r="B10" s="73"/>
      <c r="C10" s="52" t="s">
        <v>40</v>
      </c>
      <c r="D10" s="21">
        <v>0</v>
      </c>
      <c r="E10" s="21" t="s">
        <v>29</v>
      </c>
      <c r="F10" s="64"/>
      <c r="G10" s="55"/>
      <c r="H10" s="64"/>
      <c r="I10" s="55"/>
      <c r="J10" s="64"/>
      <c r="K10" s="21"/>
      <c r="L10" s="64"/>
      <c r="M10" s="21"/>
      <c r="N10" s="64"/>
      <c r="O10" s="21"/>
      <c r="P10" s="64"/>
      <c r="Q10" s="21"/>
      <c r="R10" s="64"/>
      <c r="S10" s="21"/>
      <c r="T10" s="64"/>
      <c r="U10" s="21"/>
      <c r="V10" s="64"/>
      <c r="W10" s="21"/>
      <c r="X10" s="64"/>
      <c r="Y10" s="21"/>
      <c r="Z10" s="64"/>
      <c r="AA10" s="21"/>
      <c r="AB10" s="64"/>
      <c r="AC10" s="21"/>
      <c r="AD10" s="64"/>
      <c r="AE10" s="21"/>
      <c r="AF10" s="64"/>
      <c r="AG10" s="21"/>
      <c r="AH10" s="64"/>
      <c r="AI10" s="21"/>
      <c r="AJ10" s="64"/>
      <c r="AK10" s="21"/>
      <c r="AL10" s="64"/>
      <c r="AM10" s="21"/>
      <c r="AN10" s="64"/>
      <c r="AO10" s="21"/>
      <c r="AP10" s="64"/>
      <c r="AQ10" s="21"/>
      <c r="AR10" s="64"/>
      <c r="AS10" s="21"/>
      <c r="AT10" s="64"/>
      <c r="AU10" s="21"/>
      <c r="AV10" s="64"/>
      <c r="AW10" s="21"/>
      <c r="AX10" s="64"/>
      <c r="AY10" s="21"/>
      <c r="AZ10" s="64"/>
      <c r="BA10" s="21"/>
      <c r="BB10" s="64"/>
      <c r="BC10" s="21"/>
      <c r="BD10" s="64"/>
      <c r="BE10" s="21"/>
    </row>
    <row r="11" spans="2:57" s="6" customFormat="1" ht="39.6" customHeight="1" x14ac:dyDescent="0.3">
      <c r="B11" s="73"/>
      <c r="C11" s="52" t="s">
        <v>41</v>
      </c>
      <c r="D11" s="21">
        <v>0</v>
      </c>
      <c r="E11" s="21" t="s">
        <v>29</v>
      </c>
      <c r="F11" s="64"/>
      <c r="G11" s="55"/>
      <c r="H11" s="64"/>
      <c r="I11" s="55"/>
      <c r="J11" s="64"/>
      <c r="K11" s="21"/>
      <c r="L11" s="64"/>
      <c r="M11" s="21"/>
      <c r="N11" s="64"/>
      <c r="O11" s="21"/>
      <c r="P11" s="64"/>
      <c r="Q11" s="21"/>
      <c r="R11" s="64"/>
      <c r="S11" s="21"/>
      <c r="T11" s="64"/>
      <c r="U11" s="21"/>
      <c r="V11" s="64"/>
      <c r="W11" s="21"/>
      <c r="X11" s="64"/>
      <c r="Y11" s="21"/>
      <c r="Z11" s="64"/>
      <c r="AA11" s="21"/>
      <c r="AB11" s="64"/>
      <c r="AC11" s="21"/>
      <c r="AD11" s="64"/>
      <c r="AE11" s="21"/>
      <c r="AF11" s="64"/>
      <c r="AG11" s="21"/>
      <c r="AH11" s="64"/>
      <c r="AI11" s="21"/>
      <c r="AJ11" s="64"/>
      <c r="AK11" s="21"/>
      <c r="AL11" s="64"/>
      <c r="AM11" s="21"/>
      <c r="AN11" s="64"/>
      <c r="AO11" s="21"/>
      <c r="AP11" s="64"/>
      <c r="AQ11" s="21"/>
      <c r="AR11" s="64"/>
      <c r="AS11" s="21"/>
      <c r="AT11" s="64"/>
      <c r="AU11" s="21"/>
      <c r="AV11" s="64"/>
      <c r="AW11" s="21"/>
      <c r="AX11" s="64"/>
      <c r="AY11" s="21"/>
      <c r="AZ11" s="64"/>
      <c r="BA11" s="21"/>
      <c r="BB11" s="64"/>
      <c r="BC11" s="21"/>
      <c r="BD11" s="64"/>
      <c r="BE11" s="21"/>
    </row>
    <row r="12" spans="2:57" s="6" customFormat="1" ht="13.8" x14ac:dyDescent="0.3">
      <c r="B12" s="76" t="s">
        <v>11</v>
      </c>
      <c r="C12" s="76"/>
      <c r="D12" s="23">
        <v>0</v>
      </c>
      <c r="E12" s="23" t="str">
        <f>E14</f>
        <v>XX</v>
      </c>
      <c r="F12" s="32"/>
      <c r="G12" s="28">
        <f>SUM(G13)</f>
        <v>0</v>
      </c>
      <c r="H12" s="31"/>
      <c r="I12" s="28">
        <f>SUM(I13)</f>
        <v>0</v>
      </c>
      <c r="J12" s="32"/>
      <c r="K12" s="28">
        <f>SUM(K13)</f>
        <v>0</v>
      </c>
      <c r="L12" s="32"/>
      <c r="M12" s="28">
        <f>SUM(M13)</f>
        <v>0</v>
      </c>
      <c r="N12" s="32"/>
      <c r="O12" s="28">
        <f>SUM(O13)</f>
        <v>0</v>
      </c>
      <c r="P12" s="32"/>
      <c r="Q12" s="28">
        <f>SUM(Q13)</f>
        <v>0</v>
      </c>
      <c r="R12" s="32"/>
      <c r="S12" s="28">
        <f>SUM(S13)</f>
        <v>0</v>
      </c>
      <c r="T12" s="32"/>
      <c r="U12" s="28">
        <f>SUM(U13)</f>
        <v>0</v>
      </c>
      <c r="V12" s="32"/>
      <c r="W12" s="28">
        <f t="shared" ref="W12" si="18">SUM(W13)</f>
        <v>0</v>
      </c>
      <c r="X12" s="32"/>
      <c r="Y12" s="28">
        <f t="shared" ref="Y12" si="19">SUM(Y13)</f>
        <v>0</v>
      </c>
      <c r="Z12" s="32"/>
      <c r="AA12" s="28">
        <f t="shared" ref="AA12" si="20">SUM(AA13)</f>
        <v>0</v>
      </c>
      <c r="AB12" s="32"/>
      <c r="AC12" s="28">
        <f t="shared" ref="AC12" si="21">SUM(AC13)</f>
        <v>0</v>
      </c>
      <c r="AD12" s="32"/>
      <c r="AE12" s="28">
        <f t="shared" ref="AE12" si="22">SUM(AE13)</f>
        <v>0</v>
      </c>
      <c r="AF12" s="32"/>
      <c r="AG12" s="28">
        <f t="shared" ref="AG12" si="23">SUM(AG13)</f>
        <v>0</v>
      </c>
      <c r="AH12" s="32"/>
      <c r="AI12" s="28">
        <f t="shared" ref="AI12" si="24">SUM(AI13)</f>
        <v>0</v>
      </c>
      <c r="AJ12" s="32"/>
      <c r="AK12" s="28">
        <f t="shared" ref="AK12" si="25">SUM(AK13)</f>
        <v>0</v>
      </c>
      <c r="AL12" s="32"/>
      <c r="AM12" s="28">
        <f t="shared" ref="AM12" si="26">SUM(AM13)</f>
        <v>0</v>
      </c>
      <c r="AN12" s="32"/>
      <c r="AO12" s="28">
        <f t="shared" ref="AO12" si="27">SUM(AO13)</f>
        <v>0</v>
      </c>
      <c r="AP12" s="32"/>
      <c r="AQ12" s="28">
        <f t="shared" ref="AQ12" si="28">SUM(AQ13)</f>
        <v>0</v>
      </c>
      <c r="AR12" s="32"/>
      <c r="AS12" s="28">
        <f t="shared" ref="AS12" si="29">SUM(AS13)</f>
        <v>0</v>
      </c>
      <c r="AT12" s="32"/>
      <c r="AU12" s="28">
        <f t="shared" ref="AU12" si="30">SUM(AU13)</f>
        <v>0</v>
      </c>
      <c r="AV12" s="32"/>
      <c r="AW12" s="28">
        <f t="shared" ref="AW12" si="31">SUM(AW13)</f>
        <v>0</v>
      </c>
      <c r="AX12" s="32"/>
      <c r="AY12" s="28">
        <f t="shared" ref="AY12" si="32">SUM(AY13)</f>
        <v>0</v>
      </c>
      <c r="AZ12" s="32"/>
      <c r="BA12" s="28">
        <f t="shared" ref="BA12" si="33">SUM(BA13)</f>
        <v>0</v>
      </c>
      <c r="BB12" s="32"/>
      <c r="BC12" s="28">
        <f t="shared" ref="BC12" si="34">SUM(BC13)</f>
        <v>0</v>
      </c>
      <c r="BD12" s="32"/>
      <c r="BE12" s="28">
        <f t="shared" ref="BE12" si="35">SUM(BE13)</f>
        <v>0</v>
      </c>
    </row>
    <row r="13" spans="2:57" s="6" customFormat="1" ht="51" x14ac:dyDescent="0.3">
      <c r="B13" s="70" t="s">
        <v>10</v>
      </c>
      <c r="C13" s="33" t="s">
        <v>28</v>
      </c>
      <c r="D13" s="26" t="s">
        <v>7</v>
      </c>
      <c r="E13" s="26" t="s">
        <v>7</v>
      </c>
      <c r="F13" s="60"/>
      <c r="G13" s="68"/>
      <c r="H13" s="60"/>
      <c r="I13" s="81"/>
      <c r="J13" s="60"/>
      <c r="K13" s="68"/>
      <c r="L13" s="60"/>
      <c r="M13" s="68"/>
      <c r="N13" s="60"/>
      <c r="O13" s="68"/>
      <c r="P13" s="60"/>
      <c r="Q13" s="81"/>
      <c r="R13" s="60"/>
      <c r="S13" s="68"/>
      <c r="T13" s="60"/>
      <c r="U13" s="68"/>
      <c r="V13" s="60"/>
      <c r="W13" s="68"/>
      <c r="X13" s="60"/>
      <c r="Y13" s="68"/>
      <c r="Z13" s="60"/>
      <c r="AA13" s="68"/>
      <c r="AB13" s="60"/>
      <c r="AC13" s="68"/>
      <c r="AD13" s="60"/>
      <c r="AE13" s="68"/>
      <c r="AF13" s="60"/>
      <c r="AG13" s="68"/>
      <c r="AH13" s="60"/>
      <c r="AI13" s="68"/>
      <c r="AJ13" s="60"/>
      <c r="AK13" s="68"/>
      <c r="AL13" s="60"/>
      <c r="AM13" s="68"/>
      <c r="AN13" s="60"/>
      <c r="AO13" s="68"/>
      <c r="AP13" s="60"/>
      <c r="AQ13" s="68"/>
      <c r="AR13" s="60"/>
      <c r="AS13" s="68"/>
      <c r="AT13" s="60"/>
      <c r="AU13" s="68"/>
      <c r="AV13" s="60"/>
      <c r="AW13" s="68"/>
      <c r="AX13" s="60"/>
      <c r="AY13" s="68"/>
      <c r="AZ13" s="60"/>
      <c r="BA13" s="68"/>
      <c r="BB13" s="60"/>
      <c r="BC13" s="68"/>
      <c r="BD13" s="60"/>
      <c r="BE13" s="68"/>
    </row>
    <row r="14" spans="2:57" s="6" customFormat="1" ht="13.8" customHeight="1" x14ac:dyDescent="0.3">
      <c r="B14" s="70"/>
      <c r="C14" s="52" t="s">
        <v>30</v>
      </c>
      <c r="D14" s="34" t="s">
        <v>29</v>
      </c>
      <c r="E14" s="80" t="s">
        <v>29</v>
      </c>
      <c r="F14" s="69"/>
      <c r="G14" s="68"/>
      <c r="H14" s="79"/>
      <c r="I14" s="81"/>
      <c r="J14" s="69"/>
      <c r="K14" s="68"/>
      <c r="L14" s="69"/>
      <c r="M14" s="68"/>
      <c r="N14" s="69"/>
      <c r="O14" s="68"/>
      <c r="P14" s="69"/>
      <c r="Q14" s="81"/>
      <c r="R14" s="69"/>
      <c r="S14" s="68"/>
      <c r="T14" s="69"/>
      <c r="U14" s="68"/>
      <c r="V14" s="69"/>
      <c r="W14" s="68"/>
      <c r="X14" s="69"/>
      <c r="Y14" s="68"/>
      <c r="Z14" s="69"/>
      <c r="AA14" s="68"/>
      <c r="AB14" s="69"/>
      <c r="AC14" s="68"/>
      <c r="AD14" s="69"/>
      <c r="AE14" s="68"/>
      <c r="AF14" s="69"/>
      <c r="AG14" s="68"/>
      <c r="AH14" s="69"/>
      <c r="AI14" s="68"/>
      <c r="AJ14" s="69"/>
      <c r="AK14" s="68"/>
      <c r="AL14" s="69"/>
      <c r="AM14" s="68"/>
      <c r="AN14" s="69"/>
      <c r="AO14" s="68"/>
      <c r="AP14" s="69"/>
      <c r="AQ14" s="68"/>
      <c r="AR14" s="69"/>
      <c r="AS14" s="68"/>
      <c r="AT14" s="69"/>
      <c r="AU14" s="68"/>
      <c r="AV14" s="69"/>
      <c r="AW14" s="68"/>
      <c r="AX14" s="69"/>
      <c r="AY14" s="68"/>
      <c r="AZ14" s="69"/>
      <c r="BA14" s="68"/>
      <c r="BB14" s="69"/>
      <c r="BC14" s="68"/>
      <c r="BD14" s="69"/>
      <c r="BE14" s="68"/>
    </row>
    <row r="15" spans="2:57" s="6" customFormat="1" ht="13.8" x14ac:dyDescent="0.3">
      <c r="B15" s="70"/>
      <c r="C15" s="52" t="s">
        <v>31</v>
      </c>
      <c r="D15" s="34" t="s">
        <v>29</v>
      </c>
      <c r="E15" s="80"/>
      <c r="F15" s="69"/>
      <c r="G15" s="68"/>
      <c r="H15" s="79"/>
      <c r="I15" s="81"/>
      <c r="J15" s="69"/>
      <c r="K15" s="68"/>
      <c r="L15" s="69"/>
      <c r="M15" s="68"/>
      <c r="N15" s="69"/>
      <c r="O15" s="68"/>
      <c r="P15" s="69"/>
      <c r="Q15" s="81"/>
      <c r="R15" s="69"/>
      <c r="S15" s="68"/>
      <c r="T15" s="69"/>
      <c r="U15" s="68"/>
      <c r="V15" s="69"/>
      <c r="W15" s="68"/>
      <c r="X15" s="69"/>
      <c r="Y15" s="68"/>
      <c r="Z15" s="69"/>
      <c r="AA15" s="68"/>
      <c r="AB15" s="69"/>
      <c r="AC15" s="68"/>
      <c r="AD15" s="69"/>
      <c r="AE15" s="68"/>
      <c r="AF15" s="69"/>
      <c r="AG15" s="68"/>
      <c r="AH15" s="69"/>
      <c r="AI15" s="68"/>
      <c r="AJ15" s="69"/>
      <c r="AK15" s="68"/>
      <c r="AL15" s="69"/>
      <c r="AM15" s="68"/>
      <c r="AN15" s="69"/>
      <c r="AO15" s="68"/>
      <c r="AP15" s="69"/>
      <c r="AQ15" s="68"/>
      <c r="AR15" s="69"/>
      <c r="AS15" s="68"/>
      <c r="AT15" s="69"/>
      <c r="AU15" s="68"/>
      <c r="AV15" s="69"/>
      <c r="AW15" s="68"/>
      <c r="AX15" s="69"/>
      <c r="AY15" s="68"/>
      <c r="AZ15" s="69"/>
      <c r="BA15" s="68"/>
      <c r="BB15" s="69"/>
      <c r="BC15" s="68"/>
      <c r="BD15" s="69"/>
      <c r="BE15" s="68"/>
    </row>
    <row r="16" spans="2:57" s="6" customFormat="1" ht="13.8" x14ac:dyDescent="0.3">
      <c r="B16" s="76" t="s">
        <v>13</v>
      </c>
      <c r="C16" s="76"/>
      <c r="D16" s="23">
        <v>0</v>
      </c>
      <c r="E16" s="23" t="e">
        <f>+E18+E21</f>
        <v>#VALUE!</v>
      </c>
      <c r="F16" s="27"/>
      <c r="G16" s="28">
        <f>SUM(G17)</f>
        <v>0</v>
      </c>
      <c r="H16" s="27"/>
      <c r="I16" s="28">
        <f>+I17+I21</f>
        <v>0</v>
      </c>
      <c r="J16" s="27"/>
      <c r="K16" s="28">
        <f>SUM(K17)</f>
        <v>0</v>
      </c>
      <c r="L16" s="27"/>
      <c r="M16" s="28">
        <f>+M17+M21</f>
        <v>0</v>
      </c>
      <c r="N16" s="27"/>
      <c r="O16" s="28">
        <f>SUM(O17)</f>
        <v>0</v>
      </c>
      <c r="P16" s="27"/>
      <c r="Q16" s="28">
        <f>SUM(Q17)</f>
        <v>0</v>
      </c>
      <c r="R16" s="27"/>
      <c r="S16" s="28">
        <f>SUM(S17)</f>
        <v>0</v>
      </c>
      <c r="T16" s="27"/>
      <c r="U16" s="28">
        <f>SUM(U17)</f>
        <v>0</v>
      </c>
      <c r="V16" s="27"/>
      <c r="W16" s="28">
        <f t="shared" ref="W16" si="36">SUM(W17)</f>
        <v>0</v>
      </c>
      <c r="X16" s="27"/>
      <c r="Y16" s="28">
        <f t="shared" ref="Y16" si="37">SUM(Y17)</f>
        <v>0</v>
      </c>
      <c r="Z16" s="27"/>
      <c r="AA16" s="28">
        <f t="shared" ref="AA16" si="38">SUM(AA17)</f>
        <v>0</v>
      </c>
      <c r="AB16" s="27"/>
      <c r="AC16" s="28">
        <f t="shared" ref="AC16" si="39">SUM(AC17)</f>
        <v>0</v>
      </c>
      <c r="AD16" s="27"/>
      <c r="AE16" s="28">
        <f t="shared" ref="AE16" si="40">SUM(AE17)</f>
        <v>0</v>
      </c>
      <c r="AF16" s="27"/>
      <c r="AG16" s="28">
        <f t="shared" ref="AG16" si="41">SUM(AG17)</f>
        <v>0</v>
      </c>
      <c r="AH16" s="27"/>
      <c r="AI16" s="28">
        <f t="shared" ref="AI16" si="42">SUM(AI17)</f>
        <v>0</v>
      </c>
      <c r="AJ16" s="27"/>
      <c r="AK16" s="28">
        <f t="shared" ref="AK16" si="43">SUM(AK17)</f>
        <v>0</v>
      </c>
      <c r="AL16" s="27"/>
      <c r="AM16" s="28">
        <f t="shared" ref="AM16" si="44">SUM(AM17)</f>
        <v>0</v>
      </c>
      <c r="AN16" s="27"/>
      <c r="AO16" s="28">
        <f t="shared" ref="AO16" si="45">SUM(AO17)</f>
        <v>0</v>
      </c>
      <c r="AP16" s="27"/>
      <c r="AQ16" s="28">
        <f t="shared" ref="AQ16" si="46">SUM(AQ17)</f>
        <v>0</v>
      </c>
      <c r="AR16" s="27"/>
      <c r="AS16" s="28">
        <f t="shared" ref="AS16" si="47">SUM(AS17)</f>
        <v>0</v>
      </c>
      <c r="AT16" s="27"/>
      <c r="AU16" s="28">
        <f t="shared" ref="AU16" si="48">SUM(AU17)</f>
        <v>0</v>
      </c>
      <c r="AV16" s="27"/>
      <c r="AW16" s="28">
        <f t="shared" ref="AW16" si="49">SUM(AW17)</f>
        <v>0</v>
      </c>
      <c r="AX16" s="27"/>
      <c r="AY16" s="28">
        <f t="shared" ref="AY16" si="50">SUM(AY17)</f>
        <v>0</v>
      </c>
      <c r="AZ16" s="27"/>
      <c r="BA16" s="28">
        <f t="shared" ref="BA16" si="51">SUM(BA17)</f>
        <v>0</v>
      </c>
      <c r="BB16" s="27"/>
      <c r="BC16" s="28">
        <f t="shared" ref="BC16" si="52">SUM(BC17)</f>
        <v>0</v>
      </c>
      <c r="BD16" s="27"/>
      <c r="BE16" s="28">
        <f t="shared" ref="BE16" si="53">SUM(BE17)</f>
        <v>0</v>
      </c>
    </row>
    <row r="17" spans="1:57" s="6" customFormat="1" ht="67.2" customHeight="1" x14ac:dyDescent="0.3">
      <c r="B17" s="72" t="s">
        <v>12</v>
      </c>
      <c r="C17" s="29" t="s">
        <v>32</v>
      </c>
      <c r="D17" s="26" t="s">
        <v>7</v>
      </c>
      <c r="E17" s="26" t="s">
        <v>7</v>
      </c>
      <c r="F17" s="60"/>
      <c r="G17" s="81"/>
      <c r="H17" s="64"/>
      <c r="I17" s="68"/>
      <c r="J17" s="60"/>
      <c r="K17" s="70"/>
      <c r="L17" s="60"/>
      <c r="M17" s="70"/>
      <c r="N17" s="60"/>
      <c r="O17" s="70"/>
      <c r="P17" s="60"/>
      <c r="Q17" s="70"/>
      <c r="R17" s="60"/>
      <c r="S17" s="70"/>
      <c r="T17" s="60"/>
      <c r="U17" s="70"/>
      <c r="V17" s="60"/>
      <c r="W17" s="70"/>
      <c r="X17" s="60"/>
      <c r="Y17" s="70"/>
      <c r="Z17" s="60"/>
      <c r="AA17" s="70"/>
      <c r="AB17" s="60"/>
      <c r="AC17" s="70"/>
      <c r="AD17" s="60"/>
      <c r="AE17" s="70"/>
      <c r="AF17" s="60"/>
      <c r="AG17" s="70"/>
      <c r="AH17" s="60"/>
      <c r="AI17" s="70"/>
      <c r="AJ17" s="60"/>
      <c r="AK17" s="70"/>
      <c r="AL17" s="60"/>
      <c r="AM17" s="70"/>
      <c r="AN17" s="60"/>
      <c r="AO17" s="70"/>
      <c r="AP17" s="60"/>
      <c r="AQ17" s="70"/>
      <c r="AR17" s="60"/>
      <c r="AS17" s="70"/>
      <c r="AT17" s="60"/>
      <c r="AU17" s="70"/>
      <c r="AV17" s="60"/>
      <c r="AW17" s="70"/>
      <c r="AX17" s="60"/>
      <c r="AY17" s="70"/>
      <c r="AZ17" s="60"/>
      <c r="BA17" s="70"/>
      <c r="BB17" s="60"/>
      <c r="BC17" s="70"/>
      <c r="BD17" s="60"/>
      <c r="BE17" s="70"/>
    </row>
    <row r="18" spans="1:57" s="6" customFormat="1" ht="13.8" customHeight="1" x14ac:dyDescent="0.3">
      <c r="B18" s="73"/>
      <c r="C18" s="62" t="s">
        <v>33</v>
      </c>
      <c r="D18" s="34" t="s">
        <v>29</v>
      </c>
      <c r="E18" s="80" t="s">
        <v>29</v>
      </c>
      <c r="F18" s="69"/>
      <c r="G18" s="81"/>
      <c r="H18" s="79"/>
      <c r="I18" s="68"/>
      <c r="J18" s="69"/>
      <c r="K18" s="70"/>
      <c r="L18" s="69"/>
      <c r="M18" s="70"/>
      <c r="N18" s="69"/>
      <c r="O18" s="70"/>
      <c r="P18" s="69"/>
      <c r="Q18" s="70"/>
      <c r="R18" s="69"/>
      <c r="S18" s="70"/>
      <c r="T18" s="69"/>
      <c r="U18" s="70"/>
      <c r="V18" s="69"/>
      <c r="W18" s="70"/>
      <c r="X18" s="69"/>
      <c r="Y18" s="70"/>
      <c r="Z18" s="69"/>
      <c r="AA18" s="70"/>
      <c r="AB18" s="69"/>
      <c r="AC18" s="70"/>
      <c r="AD18" s="69"/>
      <c r="AE18" s="70"/>
      <c r="AF18" s="69"/>
      <c r="AG18" s="70"/>
      <c r="AH18" s="69"/>
      <c r="AI18" s="70"/>
      <c r="AJ18" s="69"/>
      <c r="AK18" s="70"/>
      <c r="AL18" s="69"/>
      <c r="AM18" s="70"/>
      <c r="AN18" s="69"/>
      <c r="AO18" s="70"/>
      <c r="AP18" s="69"/>
      <c r="AQ18" s="70"/>
      <c r="AR18" s="69"/>
      <c r="AS18" s="70"/>
      <c r="AT18" s="69"/>
      <c r="AU18" s="70"/>
      <c r="AV18" s="69"/>
      <c r="AW18" s="70"/>
      <c r="AX18" s="69"/>
      <c r="AY18" s="70"/>
      <c r="AZ18" s="69"/>
      <c r="BA18" s="70"/>
      <c r="BB18" s="69"/>
      <c r="BC18" s="70"/>
      <c r="BD18" s="69"/>
      <c r="BE18" s="70"/>
    </row>
    <row r="19" spans="1:57" s="6" customFormat="1" ht="13.8" x14ac:dyDescent="0.3">
      <c r="B19" s="73"/>
      <c r="C19" s="62" t="s">
        <v>34</v>
      </c>
      <c r="D19" s="34" t="s">
        <v>29</v>
      </c>
      <c r="E19" s="80"/>
      <c r="F19" s="69"/>
      <c r="G19" s="81"/>
      <c r="H19" s="79"/>
      <c r="I19" s="68"/>
      <c r="J19" s="69"/>
      <c r="K19" s="70"/>
      <c r="L19" s="69"/>
      <c r="M19" s="70"/>
      <c r="N19" s="69"/>
      <c r="O19" s="70"/>
      <c r="P19" s="69"/>
      <c r="Q19" s="70"/>
      <c r="R19" s="69"/>
      <c r="S19" s="70"/>
      <c r="T19" s="69"/>
      <c r="U19" s="70"/>
      <c r="V19" s="69"/>
      <c r="W19" s="70"/>
      <c r="X19" s="69"/>
      <c r="Y19" s="70"/>
      <c r="Z19" s="69"/>
      <c r="AA19" s="70"/>
      <c r="AB19" s="69"/>
      <c r="AC19" s="70"/>
      <c r="AD19" s="69"/>
      <c r="AE19" s="70"/>
      <c r="AF19" s="69"/>
      <c r="AG19" s="70"/>
      <c r="AH19" s="69"/>
      <c r="AI19" s="70"/>
      <c r="AJ19" s="69"/>
      <c r="AK19" s="70"/>
      <c r="AL19" s="69"/>
      <c r="AM19" s="70"/>
      <c r="AN19" s="69"/>
      <c r="AO19" s="70"/>
      <c r="AP19" s="69"/>
      <c r="AQ19" s="70"/>
      <c r="AR19" s="69"/>
      <c r="AS19" s="70"/>
      <c r="AT19" s="69"/>
      <c r="AU19" s="70"/>
      <c r="AV19" s="69"/>
      <c r="AW19" s="70"/>
      <c r="AX19" s="69"/>
      <c r="AY19" s="70"/>
      <c r="AZ19" s="69"/>
      <c r="BA19" s="70"/>
      <c r="BB19" s="69"/>
      <c r="BC19" s="70"/>
      <c r="BD19" s="69"/>
      <c r="BE19" s="70"/>
    </row>
    <row r="20" spans="1:57" s="6" customFormat="1" ht="45" customHeight="1" x14ac:dyDescent="0.3">
      <c r="B20" s="73"/>
      <c r="C20" s="53" t="s">
        <v>35</v>
      </c>
      <c r="D20" s="26">
        <v>0</v>
      </c>
      <c r="E20" s="26" t="s">
        <v>29</v>
      </c>
      <c r="F20" s="60"/>
      <c r="G20" s="55"/>
      <c r="H20" s="60"/>
      <c r="I20" s="55"/>
      <c r="J20" s="60"/>
      <c r="K20" s="21"/>
      <c r="L20" s="60"/>
      <c r="M20" s="21"/>
      <c r="N20" s="60"/>
      <c r="O20" s="21"/>
      <c r="P20" s="60"/>
      <c r="Q20" s="21"/>
      <c r="R20" s="60"/>
      <c r="S20" s="21"/>
      <c r="T20" s="60"/>
      <c r="U20" s="21"/>
      <c r="V20" s="60"/>
      <c r="W20" s="21"/>
      <c r="X20" s="60"/>
      <c r="Y20" s="21"/>
      <c r="Z20" s="60"/>
      <c r="AA20" s="21"/>
      <c r="AB20" s="60"/>
      <c r="AC20" s="21"/>
      <c r="AD20" s="60"/>
      <c r="AE20" s="21"/>
      <c r="AF20" s="60"/>
      <c r="AG20" s="21"/>
      <c r="AH20" s="60"/>
      <c r="AI20" s="21"/>
      <c r="AJ20" s="60"/>
      <c r="AK20" s="21"/>
      <c r="AL20" s="60"/>
      <c r="AM20" s="21"/>
      <c r="AN20" s="60"/>
      <c r="AO20" s="21"/>
      <c r="AP20" s="60"/>
      <c r="AQ20" s="21"/>
      <c r="AR20" s="60"/>
      <c r="AS20" s="21"/>
      <c r="AT20" s="60"/>
      <c r="AU20" s="21"/>
      <c r="AV20" s="60"/>
      <c r="AW20" s="21"/>
      <c r="AX20" s="60"/>
      <c r="AY20" s="21"/>
      <c r="AZ20" s="60"/>
      <c r="BA20" s="21"/>
      <c r="BB20" s="60"/>
      <c r="BC20" s="21"/>
      <c r="BD20" s="60"/>
      <c r="BE20" s="21"/>
    </row>
    <row r="21" spans="1:57" s="6" customFormat="1" ht="41.4" customHeight="1" x14ac:dyDescent="0.3">
      <c r="B21" s="85"/>
      <c r="C21" s="53" t="s">
        <v>36</v>
      </c>
      <c r="D21" s="26">
        <v>0</v>
      </c>
      <c r="E21" s="26" t="s">
        <v>29</v>
      </c>
      <c r="F21" s="60"/>
      <c r="G21" s="55"/>
      <c r="H21" s="60"/>
      <c r="I21" s="55"/>
      <c r="J21" s="60"/>
      <c r="K21" s="21"/>
      <c r="L21" s="60"/>
      <c r="M21" s="21"/>
      <c r="N21" s="60"/>
      <c r="O21" s="21"/>
      <c r="P21" s="60"/>
      <c r="Q21" s="21"/>
      <c r="R21" s="60"/>
      <c r="S21" s="21"/>
      <c r="T21" s="60"/>
      <c r="U21" s="21"/>
      <c r="V21" s="60"/>
      <c r="W21" s="21"/>
      <c r="X21" s="60"/>
      <c r="Y21" s="21"/>
      <c r="Z21" s="60"/>
      <c r="AA21" s="21"/>
      <c r="AB21" s="60"/>
      <c r="AC21" s="21"/>
      <c r="AD21" s="60"/>
      <c r="AE21" s="21"/>
      <c r="AF21" s="60"/>
      <c r="AG21" s="21"/>
      <c r="AH21" s="60"/>
      <c r="AI21" s="21"/>
      <c r="AJ21" s="60"/>
      <c r="AK21" s="21"/>
      <c r="AL21" s="60"/>
      <c r="AM21" s="21"/>
      <c r="AN21" s="60"/>
      <c r="AO21" s="21"/>
      <c r="AP21" s="60"/>
      <c r="AQ21" s="21"/>
      <c r="AR21" s="60"/>
      <c r="AS21" s="21"/>
      <c r="AT21" s="60"/>
      <c r="AU21" s="21"/>
      <c r="AV21" s="60"/>
      <c r="AW21" s="21"/>
      <c r="AX21" s="60"/>
      <c r="AY21" s="21"/>
      <c r="AZ21" s="60"/>
      <c r="BA21" s="21"/>
      <c r="BB21" s="60"/>
      <c r="BC21" s="21"/>
      <c r="BD21" s="60"/>
      <c r="BE21" s="21"/>
    </row>
    <row r="22" spans="1:57" s="6" customFormat="1" ht="13.8" x14ac:dyDescent="0.3">
      <c r="B22" s="35"/>
      <c r="C22" s="35" t="s">
        <v>15</v>
      </c>
      <c r="D22" s="30">
        <f>+D16+D12+D7</f>
        <v>0</v>
      </c>
      <c r="E22" s="30" t="e">
        <f>+E16+E12+E7</f>
        <v>#VALUE!</v>
      </c>
      <c r="F22" s="27"/>
      <c r="G22" s="28">
        <f>+G16+G12+G7</f>
        <v>0</v>
      </c>
      <c r="H22" s="27"/>
      <c r="I22" s="28">
        <f>+I16+I12+I7</f>
        <v>0</v>
      </c>
      <c r="J22" s="27"/>
      <c r="K22" s="28"/>
      <c r="L22" s="27"/>
      <c r="M22" s="28">
        <f>+M16+M12+M7</f>
        <v>0</v>
      </c>
      <c r="N22" s="28"/>
      <c r="O22" s="28">
        <f>+O16+O12+O7</f>
        <v>0</v>
      </c>
      <c r="P22" s="28"/>
      <c r="Q22" s="28"/>
      <c r="R22" s="28"/>
      <c r="S22" s="28">
        <f>+S16+S12+S7</f>
        <v>0</v>
      </c>
      <c r="T22" s="28"/>
      <c r="U22" s="28">
        <f>+U16+U12+U7</f>
        <v>0</v>
      </c>
      <c r="V22" s="28"/>
      <c r="W22" s="28">
        <f t="shared" ref="W22" si="54">+W16+W12+W7</f>
        <v>0</v>
      </c>
      <c r="X22" s="28"/>
      <c r="Y22" s="28">
        <f t="shared" ref="Y22" si="55">+Y16+Y12+Y7</f>
        <v>0</v>
      </c>
      <c r="Z22" s="28"/>
      <c r="AA22" s="28">
        <f t="shared" ref="AA22" si="56">+AA16+AA12+AA7</f>
        <v>0</v>
      </c>
      <c r="AB22" s="28"/>
      <c r="AC22" s="28">
        <f t="shared" ref="AC22" si="57">+AC16+AC12+AC7</f>
        <v>0</v>
      </c>
      <c r="AD22" s="28"/>
      <c r="AE22" s="28">
        <f t="shared" ref="AE22" si="58">+AE16+AE12+AE7</f>
        <v>0</v>
      </c>
      <c r="AF22" s="28"/>
      <c r="AG22" s="28">
        <f t="shared" ref="AG22" si="59">+AG16+AG12+AG7</f>
        <v>0</v>
      </c>
      <c r="AH22" s="28"/>
      <c r="AI22" s="28">
        <f t="shared" ref="AI22" si="60">+AI16+AI12+AI7</f>
        <v>0</v>
      </c>
      <c r="AJ22" s="28"/>
      <c r="AK22" s="28">
        <f t="shared" ref="AK22" si="61">+AK16+AK12+AK7</f>
        <v>0</v>
      </c>
      <c r="AL22" s="28"/>
      <c r="AM22" s="28">
        <f t="shared" ref="AM22" si="62">+AM16+AM12+AM7</f>
        <v>0</v>
      </c>
      <c r="AN22" s="28"/>
      <c r="AO22" s="28">
        <f t="shared" ref="AO22" si="63">+AO16+AO12+AO7</f>
        <v>0</v>
      </c>
      <c r="AP22" s="28"/>
      <c r="AQ22" s="28">
        <f t="shared" ref="AQ22:BE22" si="64">+AQ16+AQ12+AQ7</f>
        <v>0</v>
      </c>
      <c r="AR22" s="28"/>
      <c r="AS22" s="28">
        <f t="shared" ref="AS22:BE22" si="65">+AS16+AS12+AS7</f>
        <v>0</v>
      </c>
      <c r="AT22" s="28"/>
      <c r="AU22" s="28">
        <f t="shared" ref="AU22:BE22" si="66">+AU16+AU12+AU7</f>
        <v>0</v>
      </c>
      <c r="AV22" s="28"/>
      <c r="AW22" s="28">
        <f t="shared" ref="AW22:BE22" si="67">+AW16+AW12+AW7</f>
        <v>0</v>
      </c>
      <c r="AX22" s="28"/>
      <c r="AY22" s="28">
        <f t="shared" ref="AY22:BE22" si="68">+AY16+AY12+AY7</f>
        <v>0</v>
      </c>
      <c r="AZ22" s="28"/>
      <c r="BA22" s="28">
        <f t="shared" ref="BA22:BE22" si="69">+BA16+BA12+BA7</f>
        <v>0</v>
      </c>
      <c r="BB22" s="28"/>
      <c r="BC22" s="28">
        <f t="shared" ref="BC22:BE22" si="70">+BC16+BC12+BC7</f>
        <v>0</v>
      </c>
      <c r="BD22" s="28"/>
      <c r="BE22" s="28">
        <f t="shared" ref="BE22" si="71">+BE16+BE12+BE7</f>
        <v>0</v>
      </c>
    </row>
    <row r="23" spans="1:57" s="8" customFormat="1" ht="21" customHeight="1" x14ac:dyDescent="0.3">
      <c r="A23" s="6"/>
      <c r="B23" s="77" t="s">
        <v>16</v>
      </c>
      <c r="C23" s="77"/>
      <c r="D23" s="77"/>
      <c r="E23" s="77"/>
      <c r="F23" s="84"/>
      <c r="G23" s="84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</row>
    <row r="24" spans="1:57" s="8" customFormat="1" ht="13.8" x14ac:dyDescent="0.3">
      <c r="A24" s="6"/>
      <c r="B24" s="36" t="s">
        <v>14</v>
      </c>
      <c r="C24" s="37" t="s">
        <v>17</v>
      </c>
      <c r="D24" s="38">
        <v>0</v>
      </c>
      <c r="E24" s="39">
        <v>10</v>
      </c>
      <c r="F24" s="40"/>
      <c r="G24" s="41"/>
      <c r="H24" s="40"/>
      <c r="I24" s="41"/>
      <c r="J24" s="40"/>
      <c r="K24" s="41"/>
      <c r="L24" s="40"/>
      <c r="M24" s="41"/>
      <c r="N24" s="40"/>
      <c r="O24" s="41"/>
      <c r="P24" s="40"/>
      <c r="Q24" s="41"/>
      <c r="R24" s="40"/>
      <c r="S24" s="41"/>
      <c r="T24" s="40"/>
      <c r="U24" s="41"/>
      <c r="V24" s="40"/>
      <c r="W24" s="41"/>
      <c r="X24" s="40"/>
      <c r="Y24" s="41"/>
      <c r="Z24" s="40"/>
      <c r="AA24" s="41"/>
      <c r="AB24" s="40"/>
      <c r="AC24" s="41"/>
      <c r="AD24" s="40"/>
      <c r="AE24" s="41"/>
      <c r="AF24" s="40"/>
      <c r="AG24" s="41"/>
      <c r="AH24" s="40"/>
      <c r="AI24" s="41"/>
      <c r="AJ24" s="40"/>
      <c r="AK24" s="41"/>
      <c r="AL24" s="40"/>
      <c r="AM24" s="41"/>
      <c r="AN24" s="40"/>
      <c r="AO24" s="41"/>
      <c r="AP24" s="40"/>
      <c r="AQ24" s="41"/>
      <c r="AR24" s="40"/>
      <c r="AS24" s="41"/>
      <c r="AT24" s="40"/>
      <c r="AU24" s="41"/>
      <c r="AV24" s="40"/>
      <c r="AW24" s="41"/>
      <c r="AX24" s="40"/>
      <c r="AY24" s="41"/>
      <c r="AZ24" s="40"/>
      <c r="BA24" s="41"/>
      <c r="BB24" s="40"/>
      <c r="BC24" s="41"/>
      <c r="BD24" s="40"/>
      <c r="BE24" s="41"/>
    </row>
    <row r="25" spans="1:57" s="8" customFormat="1" ht="13.8" x14ac:dyDescent="0.3">
      <c r="A25" s="6"/>
      <c r="B25" s="83" t="s">
        <v>18</v>
      </c>
      <c r="C25" s="83"/>
      <c r="D25" s="22">
        <v>0</v>
      </c>
      <c r="E25" s="23">
        <f>SUM(E24:E24)</f>
        <v>10</v>
      </c>
      <c r="F25" s="45"/>
      <c r="G25" s="46">
        <f>+ENTREVISTA!I8</f>
        <v>0</v>
      </c>
      <c r="H25" s="42"/>
      <c r="I25" s="43">
        <f>+ENTREVISTA!N8</f>
        <v>0</v>
      </c>
      <c r="J25" s="44"/>
      <c r="K25" s="43">
        <v>0</v>
      </c>
      <c r="L25" s="44"/>
      <c r="M25" s="43">
        <f>+ENTREVISTA!S8</f>
        <v>0</v>
      </c>
      <c r="N25" s="44"/>
      <c r="O25" s="43">
        <f>ENTREVISTA!W8</f>
        <v>0</v>
      </c>
      <c r="P25" s="44"/>
      <c r="Q25" s="43">
        <f>ENTREVISTA!Y8</f>
        <v>0</v>
      </c>
      <c r="R25" s="44"/>
      <c r="S25" s="43">
        <f>+ENTREVISTA!S8</f>
        <v>0</v>
      </c>
      <c r="T25" s="44"/>
      <c r="U25" s="43">
        <f>+ENTREVISTA!U8</f>
        <v>0</v>
      </c>
      <c r="V25" s="44"/>
      <c r="W25" s="43">
        <f>+ENTREVISTA!W8</f>
        <v>0</v>
      </c>
      <c r="X25" s="44"/>
      <c r="Y25" s="43">
        <f>+ENTREVISTA!Y8</f>
        <v>0</v>
      </c>
      <c r="Z25" s="44"/>
      <c r="AA25" s="43">
        <f>+ENTREVISTA!AA8</f>
        <v>0</v>
      </c>
      <c r="AB25" s="44"/>
      <c r="AC25" s="43">
        <f>+ENTREVISTA!AC8</f>
        <v>0</v>
      </c>
      <c r="AD25" s="44"/>
      <c r="AE25" s="43">
        <f>+ENTREVISTA!AE8</f>
        <v>0</v>
      </c>
      <c r="AF25" s="44"/>
      <c r="AG25" s="43">
        <f>+ENTREVISTA!AG8</f>
        <v>0</v>
      </c>
      <c r="AH25" s="44"/>
      <c r="AI25" s="43">
        <f>+ENTREVISTA!AI8</f>
        <v>0</v>
      </c>
      <c r="AJ25" s="44"/>
      <c r="AK25" s="43">
        <f>+ENTREVISTA!AK8</f>
        <v>0</v>
      </c>
      <c r="AL25" s="44"/>
      <c r="AM25" s="43">
        <f>+ENTREVISTA!AM8</f>
        <v>0</v>
      </c>
      <c r="AN25" s="44"/>
      <c r="AO25" s="43">
        <f>+ENTREVISTA!AO8</f>
        <v>0</v>
      </c>
      <c r="AP25" s="44"/>
      <c r="AQ25" s="43">
        <f>+ENTREVISTA!AQ8</f>
        <v>0</v>
      </c>
      <c r="AR25" s="44"/>
      <c r="AS25" s="43">
        <f>+ENTREVISTA!AS8</f>
        <v>0</v>
      </c>
      <c r="AT25" s="44"/>
      <c r="AU25" s="43">
        <f>+ENTREVISTA!AU8</f>
        <v>0</v>
      </c>
      <c r="AV25" s="44"/>
      <c r="AW25" s="43">
        <f>+ENTREVISTA!AW8</f>
        <v>0</v>
      </c>
      <c r="AX25" s="44"/>
      <c r="AY25" s="43">
        <f>+ENTREVISTA!AY8</f>
        <v>0</v>
      </c>
      <c r="AZ25" s="44"/>
      <c r="BA25" s="43">
        <f>+ENTREVISTA!BA8</f>
        <v>0</v>
      </c>
      <c r="BB25" s="44"/>
      <c r="BC25" s="43">
        <f>+ENTREVISTA!BC8</f>
        <v>0</v>
      </c>
      <c r="BD25" s="44"/>
      <c r="BE25" s="43">
        <f>+ENTREVISTA!BE8</f>
        <v>0</v>
      </c>
    </row>
    <row r="26" spans="1:57" s="6" customFormat="1" ht="13.8" x14ac:dyDescent="0.3">
      <c r="B26" s="82" t="s">
        <v>19</v>
      </c>
      <c r="C26" s="82"/>
      <c r="D26" s="47"/>
      <c r="E26" s="48" t="e">
        <f>SUM(E22+E25)</f>
        <v>#VALUE!</v>
      </c>
      <c r="F26" s="50"/>
      <c r="G26" s="50">
        <f>+G25+G16+G12+G7</f>
        <v>0</v>
      </c>
      <c r="H26" s="49"/>
      <c r="I26" s="50">
        <f>+I25+I22</f>
        <v>0</v>
      </c>
      <c r="J26" s="50"/>
      <c r="K26" s="50" t="s">
        <v>26</v>
      </c>
      <c r="L26" s="50"/>
      <c r="M26" s="50">
        <f>+M25+M16+M12+M7</f>
        <v>0</v>
      </c>
      <c r="N26" s="50"/>
      <c r="O26" s="50" t="s">
        <v>26</v>
      </c>
      <c r="P26" s="50"/>
      <c r="Q26" s="50" t="s">
        <v>26</v>
      </c>
      <c r="R26" s="50"/>
      <c r="S26" s="50" t="s">
        <v>26</v>
      </c>
      <c r="T26" s="50"/>
      <c r="U26" s="50" t="s">
        <v>26</v>
      </c>
      <c r="V26" s="50"/>
      <c r="W26" s="50" t="s">
        <v>26</v>
      </c>
      <c r="X26" s="50"/>
      <c r="Y26" s="50" t="s">
        <v>26</v>
      </c>
      <c r="Z26" s="50"/>
      <c r="AA26" s="50" t="s">
        <v>26</v>
      </c>
      <c r="AB26" s="50"/>
      <c r="AC26" s="50" t="s">
        <v>26</v>
      </c>
      <c r="AD26" s="50"/>
      <c r="AE26" s="50" t="s">
        <v>26</v>
      </c>
      <c r="AF26" s="50"/>
      <c r="AG26" s="50" t="s">
        <v>26</v>
      </c>
      <c r="AH26" s="50"/>
      <c r="AI26" s="50" t="s">
        <v>26</v>
      </c>
      <c r="AJ26" s="50"/>
      <c r="AK26" s="50" t="s">
        <v>26</v>
      </c>
      <c r="AL26" s="50"/>
      <c r="AM26" s="50" t="s">
        <v>26</v>
      </c>
      <c r="AN26" s="50"/>
      <c r="AO26" s="50" t="s">
        <v>26</v>
      </c>
      <c r="AP26" s="50"/>
      <c r="AQ26" s="50" t="s">
        <v>26</v>
      </c>
      <c r="AR26" s="50"/>
      <c r="AS26" s="50" t="s">
        <v>26</v>
      </c>
      <c r="AT26" s="50"/>
      <c r="AU26" s="50" t="s">
        <v>26</v>
      </c>
      <c r="AV26" s="50"/>
      <c r="AW26" s="50" t="s">
        <v>26</v>
      </c>
      <c r="AX26" s="50"/>
      <c r="AY26" s="50" t="s">
        <v>26</v>
      </c>
      <c r="AZ26" s="50"/>
      <c r="BA26" s="50" t="s">
        <v>26</v>
      </c>
      <c r="BB26" s="50"/>
      <c r="BC26" s="50" t="s">
        <v>26</v>
      </c>
      <c r="BD26" s="50"/>
      <c r="BE26" s="50" t="s">
        <v>26</v>
      </c>
    </row>
    <row r="27" spans="1:57" ht="27.75" hidden="1" customHeight="1" x14ac:dyDescent="0.3"/>
    <row r="30" spans="1:57" x14ac:dyDescent="0.3">
      <c r="E30" s="9" t="s">
        <v>20</v>
      </c>
      <c r="F30" s="51"/>
      <c r="H30" s="51"/>
      <c r="I30" s="51"/>
      <c r="J30" s="51"/>
      <c r="K30" s="51"/>
    </row>
    <row r="31" spans="1:57" x14ac:dyDescent="0.3">
      <c r="F31" s="51">
        <v>1825</v>
      </c>
      <c r="H31" s="51">
        <v>2475</v>
      </c>
      <c r="I31" s="51"/>
      <c r="J31" s="51">
        <v>1880</v>
      </c>
      <c r="K31" s="51"/>
    </row>
    <row r="32" spans="1:57" x14ac:dyDescent="0.3">
      <c r="F32" s="51">
        <f>F31/365</f>
        <v>5</v>
      </c>
      <c r="H32" s="51">
        <f>H31/365</f>
        <v>6.7808219178082192</v>
      </c>
      <c r="I32" s="51"/>
      <c r="J32" s="51">
        <f>J31/365</f>
        <v>5.1506849315068495</v>
      </c>
      <c r="K32" s="51"/>
    </row>
    <row r="33" spans="6:11" x14ac:dyDescent="0.3">
      <c r="F33" s="51">
        <v>1825</v>
      </c>
      <c r="H33" s="51">
        <v>1589</v>
      </c>
      <c r="I33" s="51"/>
      <c r="J33" s="51">
        <v>1460</v>
      </c>
      <c r="K33" s="51"/>
    </row>
    <row r="34" spans="6:11" x14ac:dyDescent="0.3">
      <c r="F34" s="51">
        <f>F33/365</f>
        <v>5</v>
      </c>
      <c r="H34" s="51">
        <f>H33/365</f>
        <v>4.353424657534247</v>
      </c>
      <c r="I34" s="51"/>
      <c r="J34" s="51">
        <f>J33/365</f>
        <v>4</v>
      </c>
      <c r="K34" s="51"/>
    </row>
  </sheetData>
  <mergeCells count="197">
    <mergeCell ref="AZ23:BA23"/>
    <mergeCell ref="BB23:BC23"/>
    <mergeCell ref="BD23:BE23"/>
    <mergeCell ref="AP23:AQ23"/>
    <mergeCell ref="AR23:AS23"/>
    <mergeCell ref="AT23:AU23"/>
    <mergeCell ref="AV23:AW23"/>
    <mergeCell ref="AX23:AY23"/>
    <mergeCell ref="AF23:AG23"/>
    <mergeCell ref="AH23:AI23"/>
    <mergeCell ref="AJ23:AK23"/>
    <mergeCell ref="AL23:AM23"/>
    <mergeCell ref="AN23:AO23"/>
    <mergeCell ref="V23:W23"/>
    <mergeCell ref="X23:Y23"/>
    <mergeCell ref="Z23:AA23"/>
    <mergeCell ref="AB23:AC23"/>
    <mergeCell ref="AD23:AE23"/>
    <mergeCell ref="AP18:AP19"/>
    <mergeCell ref="AR18:AR19"/>
    <mergeCell ref="AT18:AT19"/>
    <mergeCell ref="AV18:AV19"/>
    <mergeCell ref="AX18:AX19"/>
    <mergeCell ref="AF18:AF19"/>
    <mergeCell ref="AH18:AH19"/>
    <mergeCell ref="AJ18:AJ19"/>
    <mergeCell ref="AL18:AL19"/>
    <mergeCell ref="AN18:AN19"/>
    <mergeCell ref="V18:V19"/>
    <mergeCell ref="X18:X19"/>
    <mergeCell ref="Z18:Z19"/>
    <mergeCell ref="AB18:AB19"/>
    <mergeCell ref="AD18:AD19"/>
    <mergeCell ref="AW17:AW19"/>
    <mergeCell ref="AY17:AY19"/>
    <mergeCell ref="BA17:BA19"/>
    <mergeCell ref="BC17:BC19"/>
    <mergeCell ref="BE17:BE19"/>
    <mergeCell ref="AZ18:AZ19"/>
    <mergeCell ref="BB18:BB19"/>
    <mergeCell ref="BD18:BD19"/>
    <mergeCell ref="AZ14:AZ15"/>
    <mergeCell ref="BB14:BB15"/>
    <mergeCell ref="BD14:BD15"/>
    <mergeCell ref="W17:W19"/>
    <mergeCell ref="Y17:Y19"/>
    <mergeCell ref="AA17:AA19"/>
    <mergeCell ref="AC17:AC19"/>
    <mergeCell ref="AE17:AE19"/>
    <mergeCell ref="AG17:AG19"/>
    <mergeCell ref="AI17:AI19"/>
    <mergeCell ref="AK17:AK19"/>
    <mergeCell ref="AM17:AM19"/>
    <mergeCell ref="AO17:AO19"/>
    <mergeCell ref="AQ17:AQ19"/>
    <mergeCell ref="AS17:AS19"/>
    <mergeCell ref="AU17:AU19"/>
    <mergeCell ref="BA13:BA15"/>
    <mergeCell ref="BC13:BC15"/>
    <mergeCell ref="BE13:BE15"/>
    <mergeCell ref="V14:V15"/>
    <mergeCell ref="X14:X15"/>
    <mergeCell ref="Z14:Z15"/>
    <mergeCell ref="AB14:AB15"/>
    <mergeCell ref="AD14:AD15"/>
    <mergeCell ref="AF14:AF15"/>
    <mergeCell ref="AH14:AH15"/>
    <mergeCell ref="AJ14:AJ15"/>
    <mergeCell ref="AL14:AL15"/>
    <mergeCell ref="AN14:AN15"/>
    <mergeCell ref="AP14:AP15"/>
    <mergeCell ref="AR14:AR15"/>
    <mergeCell ref="AT14:AT15"/>
    <mergeCell ref="AQ13:AQ15"/>
    <mergeCell ref="AS13:AS15"/>
    <mergeCell ref="AU13:AU15"/>
    <mergeCell ref="AW13:AW15"/>
    <mergeCell ref="AY13:AY15"/>
    <mergeCell ref="AV14:AV15"/>
    <mergeCell ref="AX14:AX15"/>
    <mergeCell ref="AG13:AG15"/>
    <mergeCell ref="AI13:AI15"/>
    <mergeCell ref="AK13:AK15"/>
    <mergeCell ref="AM13:AM15"/>
    <mergeCell ref="AO13:AO15"/>
    <mergeCell ref="W13:W15"/>
    <mergeCell ref="Y13:Y15"/>
    <mergeCell ref="AA13:AA15"/>
    <mergeCell ref="AC13:AC15"/>
    <mergeCell ref="AE13:AE15"/>
    <mergeCell ref="AV5:AW5"/>
    <mergeCell ref="AX5:AY5"/>
    <mergeCell ref="AZ5:BA5"/>
    <mergeCell ref="BB5:BC5"/>
    <mergeCell ref="BD5:BE5"/>
    <mergeCell ref="AZ3:BA3"/>
    <mergeCell ref="BB3:BC3"/>
    <mergeCell ref="BD3:BE3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P3:AQ3"/>
    <mergeCell ref="AR3:AS3"/>
    <mergeCell ref="AT3:AU3"/>
    <mergeCell ref="AV3:AW3"/>
    <mergeCell ref="AX3:AY3"/>
    <mergeCell ref="AF3:AG3"/>
    <mergeCell ref="AH3:AI3"/>
    <mergeCell ref="AJ3:AK3"/>
    <mergeCell ref="AL3:AM3"/>
    <mergeCell ref="AN3:AO3"/>
    <mergeCell ref="V3:W3"/>
    <mergeCell ref="X3:Y3"/>
    <mergeCell ref="Z3:AA3"/>
    <mergeCell ref="AB3:AC3"/>
    <mergeCell ref="AD3:AE3"/>
    <mergeCell ref="L3:M3"/>
    <mergeCell ref="L5:M5"/>
    <mergeCell ref="M13:M15"/>
    <mergeCell ref="L14:L15"/>
    <mergeCell ref="M17:M19"/>
    <mergeCell ref="L18:L19"/>
    <mergeCell ref="O13:O15"/>
    <mergeCell ref="N14:N15"/>
    <mergeCell ref="O17:O19"/>
    <mergeCell ref="N18:N19"/>
    <mergeCell ref="N23:O23"/>
    <mergeCell ref="B26:C26"/>
    <mergeCell ref="B25:C25"/>
    <mergeCell ref="B23:E23"/>
    <mergeCell ref="J23:K23"/>
    <mergeCell ref="G17:G19"/>
    <mergeCell ref="F18:F19"/>
    <mergeCell ref="F23:G23"/>
    <mergeCell ref="B17:B21"/>
    <mergeCell ref="H23:I23"/>
    <mergeCell ref="I17:I19"/>
    <mergeCell ref="J18:J19"/>
    <mergeCell ref="E18:E19"/>
    <mergeCell ref="K17:K19"/>
    <mergeCell ref="H18:H19"/>
    <mergeCell ref="I13:I15"/>
    <mergeCell ref="B7:C7"/>
    <mergeCell ref="J14:J15"/>
    <mergeCell ref="P23:Q23"/>
    <mergeCell ref="P3:Q3"/>
    <mergeCell ref="P5:Q5"/>
    <mergeCell ref="Q13:Q15"/>
    <mergeCell ref="P14:P15"/>
    <mergeCell ref="Q17:Q19"/>
    <mergeCell ref="P18:P19"/>
    <mergeCell ref="B16:C16"/>
    <mergeCell ref="K13:K15"/>
    <mergeCell ref="F3:G3"/>
    <mergeCell ref="L23:M23"/>
    <mergeCell ref="N3:O3"/>
    <mergeCell ref="N5:O5"/>
    <mergeCell ref="F5:G5"/>
    <mergeCell ref="G13:G15"/>
    <mergeCell ref="F14:F15"/>
    <mergeCell ref="B8:B11"/>
    <mergeCell ref="B1:E1"/>
    <mergeCell ref="B2:K2"/>
    <mergeCell ref="B13:B15"/>
    <mergeCell ref="B12:C12"/>
    <mergeCell ref="B5:C5"/>
    <mergeCell ref="B3:E3"/>
    <mergeCell ref="J5:K5"/>
    <mergeCell ref="H5:I5"/>
    <mergeCell ref="H3:I3"/>
    <mergeCell ref="J3:K3"/>
    <mergeCell ref="H14:H15"/>
    <mergeCell ref="E14:E15"/>
    <mergeCell ref="T23:U23"/>
    <mergeCell ref="T3:U3"/>
    <mergeCell ref="T5:U5"/>
    <mergeCell ref="U13:U15"/>
    <mergeCell ref="T14:T15"/>
    <mergeCell ref="U17:U19"/>
    <mergeCell ref="T18:T19"/>
    <mergeCell ref="R23:S23"/>
    <mergeCell ref="R3:S3"/>
    <mergeCell ref="R5:S5"/>
    <mergeCell ref="S13:S15"/>
    <mergeCell ref="R14:R15"/>
    <mergeCell ref="S17:S19"/>
    <mergeCell ref="R18:R1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350F6-1AC5-49A6-BE55-F89BF1A2F3DC}">
  <sheetPr>
    <tabColor rgb="FFFFFF00"/>
    <pageSetUpPr fitToPage="1"/>
  </sheetPr>
  <dimension ref="B1:S9"/>
  <sheetViews>
    <sheetView zoomScale="120" zoomScaleNormal="120" workbookViewId="0">
      <selection activeCell="K6" sqref="K6"/>
    </sheetView>
  </sheetViews>
  <sheetFormatPr baseColWidth="10" defaultColWidth="11.44140625" defaultRowHeight="12" x14ac:dyDescent="0.3"/>
  <cols>
    <col min="1" max="1" width="2.88671875" style="3" customWidth="1"/>
    <col min="2" max="2" width="3.6640625" style="9" bestFit="1" customWidth="1"/>
    <col min="3" max="3" width="21.44140625" style="3" bestFit="1" customWidth="1"/>
    <col min="4" max="4" width="5.6640625" style="9" bestFit="1" customWidth="1"/>
    <col min="5" max="7" width="7.109375" style="9" customWidth="1"/>
    <col min="8" max="8" width="7.109375" style="17" customWidth="1"/>
    <col min="9" max="9" width="5.6640625" style="3" customWidth="1"/>
    <col min="10" max="13" width="7.109375" style="3" customWidth="1"/>
    <col min="14" max="14" width="5.6640625" style="3" customWidth="1"/>
    <col min="15" max="18" width="7.109375" style="9" customWidth="1"/>
    <col min="19" max="19" width="5.6640625" style="17" customWidth="1"/>
    <col min="20" max="16384" width="11.44140625" style="3"/>
  </cols>
  <sheetData>
    <row r="1" spans="2:19" ht="37.200000000000003" customHeight="1" x14ac:dyDescent="0.3">
      <c r="B1" s="87" t="s">
        <v>27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</row>
    <row r="2" spans="2:19" ht="12.6" customHeight="1" x14ac:dyDescent="0.3">
      <c r="B2" s="88"/>
      <c r="C2" s="88"/>
      <c r="D2" s="88"/>
      <c r="E2" s="10"/>
      <c r="F2" s="10"/>
      <c r="G2" s="10"/>
      <c r="H2" s="11"/>
      <c r="O2" s="10"/>
      <c r="P2" s="10"/>
      <c r="Q2" s="10"/>
      <c r="R2" s="10"/>
      <c r="S2" s="11"/>
    </row>
    <row r="3" spans="2:19" s="4" customFormat="1" ht="22.95" customHeight="1" x14ac:dyDescent="0.3">
      <c r="B3" s="89" t="s">
        <v>21</v>
      </c>
      <c r="C3" s="89"/>
      <c r="D3" s="89"/>
      <c r="E3" s="89"/>
      <c r="F3" s="89"/>
      <c r="G3" s="89"/>
      <c r="H3" s="89"/>
      <c r="I3" s="89" t="s">
        <v>22</v>
      </c>
      <c r="J3" s="89"/>
      <c r="K3" s="89"/>
      <c r="L3" s="89"/>
      <c r="M3" s="89"/>
      <c r="N3" s="89" t="s">
        <v>22</v>
      </c>
      <c r="O3" s="89"/>
      <c r="P3" s="89"/>
      <c r="Q3" s="89"/>
      <c r="R3" s="89"/>
      <c r="S3" s="89" t="s">
        <v>22</v>
      </c>
    </row>
    <row r="4" spans="2:19" s="5" customFormat="1" ht="20.399999999999999" x14ac:dyDescent="0.3">
      <c r="B4" s="12" t="s">
        <v>1</v>
      </c>
      <c r="C4" s="12" t="s">
        <v>2</v>
      </c>
      <c r="D4" s="12" t="s">
        <v>4</v>
      </c>
      <c r="E4" s="12"/>
      <c r="F4" s="12"/>
      <c r="G4" s="12"/>
      <c r="H4" s="12"/>
      <c r="I4" s="89"/>
      <c r="J4" s="12"/>
      <c r="K4" s="12"/>
      <c r="L4" s="12"/>
      <c r="M4" s="12"/>
      <c r="N4" s="89"/>
      <c r="O4" s="12"/>
      <c r="P4" s="12"/>
      <c r="Q4" s="12"/>
      <c r="R4" s="12"/>
      <c r="S4" s="89"/>
    </row>
    <row r="5" spans="2:19" s="6" customFormat="1" ht="30.75" customHeight="1" x14ac:dyDescent="0.3">
      <c r="B5" s="56" t="s">
        <v>6</v>
      </c>
      <c r="C5" s="13" t="s">
        <v>23</v>
      </c>
      <c r="D5" s="7">
        <v>4</v>
      </c>
      <c r="E5" s="14"/>
      <c r="F5" s="14"/>
      <c r="G5" s="14"/>
      <c r="H5" s="14"/>
      <c r="I5" s="15">
        <f>SUM(E5:H5)/4</f>
        <v>0</v>
      </c>
      <c r="J5" s="16"/>
      <c r="K5" s="16"/>
      <c r="L5" s="16"/>
      <c r="M5" s="16"/>
      <c r="N5" s="63">
        <f>SUM(J5:M5)/4</f>
        <v>0</v>
      </c>
      <c r="O5" s="16"/>
      <c r="P5" s="16"/>
      <c r="Q5" s="16"/>
      <c r="R5" s="16"/>
      <c r="S5" s="15">
        <f>SUM(O5:R5)/4</f>
        <v>0</v>
      </c>
    </row>
    <row r="6" spans="2:19" s="6" customFormat="1" ht="30.75" customHeight="1" x14ac:dyDescent="0.3">
      <c r="B6" s="57" t="s">
        <v>9</v>
      </c>
      <c r="C6" s="13" t="s">
        <v>24</v>
      </c>
      <c r="D6" s="7">
        <v>3</v>
      </c>
      <c r="E6" s="14"/>
      <c r="F6" s="14"/>
      <c r="G6" s="14"/>
      <c r="H6" s="14"/>
      <c r="I6" s="15">
        <f t="shared" ref="I6:I7" si="0">SUM(E6:H6)/4</f>
        <v>0</v>
      </c>
      <c r="J6" s="16"/>
      <c r="K6" s="16"/>
      <c r="L6" s="16"/>
      <c r="M6" s="16"/>
      <c r="N6" s="63">
        <f t="shared" ref="N6:N7" si="1">SUM(J6:M6)/4</f>
        <v>0</v>
      </c>
      <c r="O6" s="16"/>
      <c r="P6" s="16"/>
      <c r="Q6" s="16"/>
      <c r="R6" s="16"/>
      <c r="S6" s="15">
        <f t="shared" ref="S6:S7" si="2">SUM(O6:R6)/4</f>
        <v>0</v>
      </c>
    </row>
    <row r="7" spans="2:19" s="6" customFormat="1" ht="30.75" customHeight="1" x14ac:dyDescent="0.3">
      <c r="B7" s="57" t="s">
        <v>10</v>
      </c>
      <c r="C7" s="13" t="s">
        <v>25</v>
      </c>
      <c r="D7" s="7">
        <v>3</v>
      </c>
      <c r="E7" s="14"/>
      <c r="F7" s="14"/>
      <c r="G7" s="14"/>
      <c r="H7" s="14"/>
      <c r="I7" s="15">
        <f t="shared" si="0"/>
        <v>0</v>
      </c>
      <c r="J7" s="16"/>
      <c r="K7" s="16"/>
      <c r="L7" s="16"/>
      <c r="M7" s="16"/>
      <c r="N7" s="63">
        <f t="shared" si="1"/>
        <v>0</v>
      </c>
      <c r="O7" s="16"/>
      <c r="P7" s="16"/>
      <c r="Q7" s="16"/>
      <c r="R7" s="16"/>
      <c r="S7" s="15">
        <f t="shared" si="2"/>
        <v>0</v>
      </c>
    </row>
    <row r="8" spans="2:19" s="6" customFormat="1" ht="24.75" customHeight="1" x14ac:dyDescent="0.3">
      <c r="B8" s="86" t="s">
        <v>22</v>
      </c>
      <c r="C8" s="86"/>
      <c r="D8" s="58">
        <f>SUM(D5:D7)</f>
        <v>10</v>
      </c>
      <c r="E8" s="58">
        <f>SUM(E5:E7)</f>
        <v>0</v>
      </c>
      <c r="F8" s="58">
        <f>SUM(F5:F7)</f>
        <v>0</v>
      </c>
      <c r="G8" s="58">
        <f>SUM(G5:G7)</f>
        <v>0</v>
      </c>
      <c r="H8" s="58">
        <f>SUM(H5:H7)</f>
        <v>0</v>
      </c>
      <c r="I8" s="59" cm="1">
        <f t="array" ref="I8">SUM(E8:H8/4)</f>
        <v>0</v>
      </c>
      <c r="J8" s="59">
        <f>SUM(J5:J7)</f>
        <v>0</v>
      </c>
      <c r="K8" s="59">
        <f>SUM(K5:K7)</f>
        <v>0</v>
      </c>
      <c r="L8" s="59">
        <f>SUM(L5:L7)</f>
        <v>0</v>
      </c>
      <c r="M8" s="59">
        <f>SUM(M5:M7)</f>
        <v>0</v>
      </c>
      <c r="N8" s="59" cm="1">
        <f t="array" ref="N8">SUM(J8:M8/4)</f>
        <v>0</v>
      </c>
      <c r="O8" s="58">
        <f>SUM(O5:O7)</f>
        <v>0</v>
      </c>
      <c r="P8" s="58">
        <f>SUM(P5:P7)</f>
        <v>0</v>
      </c>
      <c r="Q8" s="58">
        <f>SUM(Q5:Q7)</f>
        <v>0</v>
      </c>
      <c r="R8" s="58">
        <f>SUM(R5:R7)</f>
        <v>0</v>
      </c>
      <c r="S8" s="59" cm="1">
        <f t="array" ref="S8">SUM(O8:R8/4)</f>
        <v>0</v>
      </c>
    </row>
    <row r="9" spans="2:19" ht="27.75" customHeight="1" x14ac:dyDescent="0.3">
      <c r="B9" s="3"/>
      <c r="D9" s="3"/>
      <c r="E9" s="3"/>
      <c r="F9" s="3"/>
      <c r="G9" s="3"/>
      <c r="H9" s="3"/>
      <c r="O9" s="3"/>
      <c r="P9" s="3"/>
      <c r="Q9" s="3"/>
      <c r="R9" s="3"/>
      <c r="S9" s="3"/>
    </row>
  </sheetData>
  <mergeCells count="10">
    <mergeCell ref="B8:C8"/>
    <mergeCell ref="B1:S1"/>
    <mergeCell ref="B2:D2"/>
    <mergeCell ref="B3:D3"/>
    <mergeCell ref="E3:H3"/>
    <mergeCell ref="I3:I4"/>
    <mergeCell ref="O3:R3"/>
    <mergeCell ref="N3:N4"/>
    <mergeCell ref="J3:M3"/>
    <mergeCell ref="S3:S4"/>
  </mergeCells>
  <pageMargins left="0.7" right="0.7" top="0.75" bottom="0.75" header="0.3" footer="0.3"/>
  <pageSetup paperSize="9" scale="9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85A773B6BE86449BEF4E3027A9E2D9" ma:contentTypeVersion="18" ma:contentTypeDescription="Crear nuevo documento." ma:contentTypeScope="" ma:versionID="27b520d279146c3ec028cb415f8e87ff">
  <xsd:schema xmlns:xsd="http://www.w3.org/2001/XMLSchema" xmlns:xs="http://www.w3.org/2001/XMLSchema" xmlns:p="http://schemas.microsoft.com/office/2006/metadata/properties" xmlns:ns1="http://schemas.microsoft.com/sharepoint/v3" xmlns:ns2="625d9319-fe08-43e2-9bfa-d64890c2fdd3" xmlns:ns3="75b0964f-1752-4a47-a857-ae6105e331eb" targetNamespace="http://schemas.microsoft.com/office/2006/metadata/properties" ma:root="true" ma:fieldsID="ca35d33ab339a44efa0847108a024569" ns1:_="" ns2:_="" ns3:_="">
    <xsd:import namespace="http://schemas.microsoft.com/sharepoint/v3"/>
    <xsd:import namespace="625d9319-fe08-43e2-9bfa-d64890c2fdd3"/>
    <xsd:import namespace="75b0964f-1752-4a47-a857-ae6105e331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5d9319-fe08-43e2-9bfa-d64890c2fd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272734f2-8984-4281-b749-6c484a5b21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b0964f-1752-4a47-a857-ae6105e331e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d3c90924-49fb-4c71-849c-ec0b068b124f}" ma:internalName="TaxCatchAll" ma:showField="CatchAllData" ma:web="75b0964f-1752-4a47-a857-ae6105e331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25d9319-fe08-43e2-9bfa-d64890c2fdd3">
      <Terms xmlns="http://schemas.microsoft.com/office/infopath/2007/PartnerControls"/>
    </lcf76f155ced4ddcb4097134ff3c332f>
    <TaxCatchAll xmlns="75b0964f-1752-4a47-a857-ae6105e331e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90C975-D14F-4DBB-9144-ED185B92E5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25d9319-fe08-43e2-9bfa-d64890c2fdd3"/>
    <ds:schemaRef ds:uri="75b0964f-1752-4a47-a857-ae6105e331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B0B0189-7574-4BD1-BD5D-7C0E8564B67E}">
  <ds:schemaRefs>
    <ds:schemaRef ds:uri="http://schemas.microsoft.com/office/2006/metadata/properties"/>
    <ds:schemaRef ds:uri="http://schemas.microsoft.com/office/infopath/2007/PartnerControls"/>
    <ds:schemaRef ds:uri="625d9319-fe08-43e2-9bfa-d64890c2fdd3"/>
    <ds:schemaRef ds:uri="75b0964f-1752-4a47-a857-ae6105e331eb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CE42A3B7-139B-4B04-B981-49E1E8B30C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Evaluación CV</vt:lpstr>
      <vt:lpstr>ENTREVISTA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Fiorella Gonzales Delzo</dc:creator>
  <cp:keywords>Validado</cp:keywords>
  <dc:description/>
  <cp:lastModifiedBy>Fernando García Atúncar</cp:lastModifiedBy>
  <cp:revision/>
  <dcterms:created xsi:type="dcterms:W3CDTF">2014-03-31T20:15:50Z</dcterms:created>
  <dcterms:modified xsi:type="dcterms:W3CDTF">2026-01-16T23:19:57Z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0x010100C485A773B6BE86449BEF4E3027A9E2D9</vt:lpwstr>
  </property>
  <property fmtid="{D5CDD505-2E9C-101B-9397-08002B2CF9AE}" pid="3" name="MediaServiceImageTags">
    <vt:lpwstr/>
  </property>
</Properties>
</file>